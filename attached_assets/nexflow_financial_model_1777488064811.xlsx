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1 · Assumptions" sheetId="2" state="visible" r:id="rId4"/>
    <sheet name="02 · Cost Breakdown" sheetId="3" state="visible" r:id="rId5"/>
    <sheet name="03 · Revenue Build" sheetId="4" state="visible" r:id="rId6"/>
    <sheet name="04 · Unit Economics" sheetId="5" state="visible" r:id="rId7"/>
    <sheet name="05 · P&amp;L" sheetId="6" state="visible" r:id="rId8"/>
    <sheet name="06 · Cash Flow" sheetId="7" state="visible" r:id="rId9"/>
    <sheet name="07 · Valuation" sheetId="8" state="visible" r:id="rId10"/>
    <sheet name="08 · Marketing Plan" sheetId="9" state="visible" r:id="rId11"/>
    <sheet name="09 · Reliability Stack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<sst xmlns="http://schemas.openxmlformats.org/spreadsheetml/2006/main" count="427" uniqueCount="388">
  <si>
    <t xml:space="preserve">NEXFLOW</t>
  </si>
  <si>
    <t xml:space="preserve">The First GCC-Native AI-Powered CRM</t>
  </si>
  <si>
    <t xml:space="preserve">Pre-Seed Financial Model · 3-Year Projections</t>
  </si>
  <si>
    <t xml:space="preserve">$100K raise · Bootstrap team · 18,000 customers by Y3</t>
  </si>
  <si>
    <t xml:space="preserve">WORKBOOK CONTENTS</t>
  </si>
  <si>
    <t xml:space="preserve">01 · Assumptions</t>
  </si>
  <si>
    <t xml:space="preserve">All model drivers — pricing, growth, costs</t>
  </si>
  <si>
    <t xml:space="preserve">02 · Cost Breakdown</t>
  </si>
  <si>
    <t xml:space="preserve">Every expense line itemized in USD</t>
  </si>
  <si>
    <t xml:space="preserve">03 · Revenue Build</t>
  </si>
  <si>
    <t xml:space="preserve">Customer cohorts, ARR build</t>
  </si>
  <si>
    <t xml:space="preserve">04 · Unit Economics</t>
  </si>
  <si>
    <t xml:space="preserve">CAC · LTV · Payback</t>
  </si>
  <si>
    <t xml:space="preserve">05 · P&amp;L</t>
  </si>
  <si>
    <t xml:space="preserve">3-year income statement</t>
  </si>
  <si>
    <t xml:space="preserve">06 · Cash Flow</t>
  </si>
  <si>
    <t xml:space="preserve">Operating cash, burn, runway</t>
  </si>
  <si>
    <t xml:space="preserve">07 · Valuation</t>
  </si>
  <si>
    <t xml:space="preserve">Exit scenarios, IRR</t>
  </si>
  <si>
    <t xml:space="preserve">08 · Marketing Plan</t>
  </si>
  <si>
    <t xml:space="preserve">Campaign-by-campaign breakdown</t>
  </si>
  <si>
    <t xml:space="preserve">09 · Reliability Stack</t>
  </si>
  <si>
    <t xml:space="preserve">Uptime, monitoring, DR</t>
  </si>
  <si>
    <t xml:space="preserve">KEY METRICS (Year 3)</t>
  </si>
  <si>
    <t xml:space="preserve">Ending Customers (Y3)</t>
  </si>
  <si>
    <t xml:space="preserve">Ending ARR (Y3)</t>
  </si>
  <si>
    <t xml:space="preserve">Revenue (Y3)</t>
  </si>
  <si>
    <t xml:space="preserve">Gross Margin (Y3)</t>
  </si>
  <si>
    <t xml:space="preserve">Net Income (Y3)</t>
  </si>
  <si>
    <t xml:space="preserve">Y1 Net Income</t>
  </si>
  <si>
    <t xml:space="preserve">Pre-seed Raise</t>
  </si>
  <si>
    <t xml:space="preserve">Investor Ownership</t>
  </si>
  <si>
    <t xml:space="preserve">NEXFLOW · MODEL ASSUMPTIONS</t>
  </si>
  <si>
    <t xml:space="preserve">GCC-first AI CRM · $100K raise · Freelance team · All blue cells editable</t>
  </si>
  <si>
    <t xml:space="preserve">Year 1 (2026)</t>
  </si>
  <si>
    <t xml:space="preserve">Year 2 (2027)</t>
  </si>
  <si>
    <t xml:space="preserve">Year 3 (2028)</t>
  </si>
  <si>
    <t xml:space="preserve">1. PRICING ($/seat/mo) — below HubSpot &amp; Salesforce</t>
  </si>
  <si>
    <t xml:space="preserve">Free tier ($/seat/mo)</t>
  </si>
  <si>
    <t xml:space="preserve">Starter ($/seat/mo)</t>
  </si>
  <si>
    <t xml:space="preserve">Professional ($/seat/mo)</t>
  </si>
  <si>
    <t xml:space="preserve">Business ($/seat/mo)</t>
  </si>
  <si>
    <t xml:space="preserve">Enterprise T1 300-750 seats ($/seat/mo)</t>
  </si>
  <si>
    <t xml:space="preserve">Enterprise T2 750-2000 seats ($/seat/mo)</t>
  </si>
  <si>
    <t xml:space="preserve">Enterprise T3 2000+ seats ($/seat/mo)</t>
  </si>
  <si>
    <t xml:space="preserve">Mix % · Starter</t>
  </si>
  <si>
    <t xml:space="preserve">Mix % · Professional</t>
  </si>
  <si>
    <t xml:space="preserve">Mix % · Business</t>
  </si>
  <si>
    <t xml:space="preserve">Mix % · Enterprise T1</t>
  </si>
  <si>
    <t xml:space="preserve">Mix % · Enterprise T2</t>
  </si>
  <si>
    <t xml:space="preserve">Mix % · Enterprise T3</t>
  </si>
  <si>
    <t xml:space="preserve">Blended ARPU ($/seat/mo)</t>
  </si>
  <si>
    <t xml:space="preserve">2. CUSTOMER GROWTH — GCC first-mover advantage</t>
  </si>
  <si>
    <t xml:space="preserve">New paying customers per year</t>
  </si>
  <si>
    <t xml:space="preserve">Avg seats per customer</t>
  </si>
  <si>
    <t xml:space="preserve">Gross logo churn rate (annual)</t>
  </si>
  <si>
    <t xml:space="preserve">Net revenue retention (NRR)</t>
  </si>
  <si>
    <t xml:space="preserve">Starting customers (Jan 1)</t>
  </si>
  <si>
    <t xml:space="preserve">3. COST OF GOODS SOLD (COGS %)</t>
  </si>
  <si>
    <t xml:space="preserve">Cloud &amp; infrastructure (AWS me-south-1) %</t>
  </si>
  <si>
    <t xml:space="preserve">AI/LLM APIs (Claude, OpenAI TTS) %</t>
  </si>
  <si>
    <t xml:space="preserve">Twilio voice &amp; SMS %</t>
  </si>
  <si>
    <t xml:space="preserve">Third-party integrations %</t>
  </si>
  <si>
    <t xml:space="preserve">Payment processing (Stripe/PayTabs) %</t>
  </si>
  <si>
    <t xml:space="preserve">Total COGS %</t>
  </si>
  <si>
    <t xml:space="preserve">Gross Margin %</t>
  </si>
  <si>
    <t xml:space="preserve">4. OPERATING EXPENSES ($ absolute, from Cost Breakdown)</t>
  </si>
  <si>
    <t xml:space="preserve">Team (freelance + part-time + founder)</t>
  </si>
  <si>
    <t xml:space="preserve">Infrastructure &amp; APIs + Reliability</t>
  </si>
  <si>
    <t xml:space="preserve">Marketing campaigns</t>
  </si>
  <si>
    <t xml:space="preserve">Legal, accounting, compliance</t>
  </si>
  <si>
    <t xml:space="preserve">Tools, SaaS stack</t>
  </si>
  <si>
    <t xml:space="preserve">Ops, travel, misc</t>
  </si>
  <si>
    <t xml:space="preserve">Buffer / contingency</t>
  </si>
  <si>
    <t xml:space="preserve">Total OpEx ($)</t>
  </si>
  <si>
    <t xml:space="preserve">5. OTHER</t>
  </si>
  <si>
    <t xml:space="preserve">Tax rate</t>
  </si>
  <si>
    <t xml:space="preserve">YEAR 1 COST BREAKDOWN · EVERY LINE ITEMIZED</t>
  </si>
  <si>
    <t xml:space="preserve">LINE ITEM</t>
  </si>
  <si>
    <t xml:space="preserve">Monthly $</t>
  </si>
  <si>
    <t xml:space="preserve">Months</t>
  </si>
  <si>
    <t xml:space="preserve">Annual $</t>
  </si>
  <si>
    <t xml:space="preserve">Notes</t>
  </si>
  <si>
    <t xml:space="preserve">TEAM</t>
  </si>
  <si>
    <t xml:space="preserve">Developer 1 (India freelance, part-time)</t>
  </si>
  <si>
    <t xml:space="preserve">Per-project / hourly, $800/mo equiv</t>
  </si>
  <si>
    <t xml:space="preserve">Developer 2 (GCC part-time)</t>
  </si>
  <si>
    <t xml:space="preserve">Part-time contract, executing on existing architecture</t>
  </si>
  <si>
    <t xml:space="preserve">Founder / CEO (equity only)</t>
  </si>
  <si>
    <t xml:space="preserve">No salary Y1 — founder stake</t>
  </si>
  <si>
    <t xml:space="preserve">Subtotal Team</t>
  </si>
  <si>
    <t xml:space="preserve">INFRASTRUCTURE &amp; APIs + RELIABILITY STACK</t>
  </si>
  <si>
    <t xml:space="preserve">AWS me-south-1 primary (EC2, RDS, S3)</t>
  </si>
  <si>
    <t xml:space="preserve">Bahrain region, Multi-AZ</t>
  </si>
  <si>
    <t xml:space="preserve">AWS eu-central-1 DR backup</t>
  </si>
  <si>
    <t xml:space="preserve">Disaster recovery, Frankfurt</t>
  </si>
  <si>
    <t xml:space="preserve">Cloudflare Pro (DDoS, WAF, CDN)</t>
  </si>
  <si>
    <t xml:space="preserve">Security + performance</t>
  </si>
  <si>
    <t xml:space="preserve">Datadog APM (monitoring)</t>
  </si>
  <si>
    <t xml:space="preserve">Application performance, alerts</t>
  </si>
  <si>
    <t xml:space="preserve">Sentry error tracking</t>
  </si>
  <si>
    <t xml:space="preserve">Instant exception alerts</t>
  </si>
  <si>
    <t xml:space="preserve">PagerDuty on-call alerting</t>
  </si>
  <si>
    <t xml:space="preserve">Founder + devs paged instantly</t>
  </si>
  <si>
    <t xml:space="preserve">UptimeRobot external checks</t>
  </si>
  <si>
    <t xml:space="preserve">Global uptime monitoring</t>
  </si>
  <si>
    <t xml:space="preserve">AWS Backup + S3 storage</t>
  </si>
  <si>
    <t xml:space="preserve">Daily backups, 35-day retention</t>
  </si>
  <si>
    <t xml:space="preserve">Claude API (Haiku 4.5 primary)</t>
  </si>
  <si>
    <t xml:space="preserve">$1/$5 per MTok, mostly Haiku</t>
  </si>
  <si>
    <t xml:space="preserve">OpenAI TTS (voice agent)</t>
  </si>
  <si>
    <t xml:space="preserve">$0.015/min audio</t>
  </si>
  <si>
    <t xml:space="preserve">Twilio Voice + SMS</t>
  </si>
  <si>
    <t xml:space="preserve">$0.013/min + SMS</t>
  </si>
  <si>
    <t xml:space="preserve">Stripe billing fees (0.5%)</t>
  </si>
  <si>
    <t xml:space="preserve">Beyond transaction fees in COGS</t>
  </si>
  <si>
    <t xml:space="preserve">Domain + SSL (Cloudflare/Let's Encrypt)</t>
  </si>
  <si>
    <t xml:space="preserve">nexflow.com</t>
  </si>
  <si>
    <t xml:space="preserve">Subtotal Infrastructure</t>
  </si>
  <si>
    <t xml:space="preserve">MARKETING — lean, GCC-focused, organic-first</t>
  </si>
  <si>
    <t xml:space="preserve">LinkedIn MENA targeted ads</t>
  </si>
  <si>
    <t xml:space="preserve">GCC decision-makers</t>
  </si>
  <si>
    <t xml:space="preserve">Arabic content writer (1/week)</t>
  </si>
  <si>
    <t xml:space="preserve">4 articles/month, $37.50 each</t>
  </si>
  <si>
    <t xml:space="preserve">Event presence (LEAP or Biban shared)</t>
  </si>
  <si>
    <t xml:space="preserve">One GCC event Y1, booth share</t>
  </si>
  <si>
    <t xml:space="preserve">Referral program rewards</t>
  </si>
  <si>
    <t xml:space="preserve">Customer-driven growth</t>
  </si>
  <si>
    <t xml:space="preserve">LinkedIn personal brand (time, not $)</t>
  </si>
  <si>
    <t xml:space="preserve">Founder-led, zero cost</t>
  </si>
  <si>
    <t xml:space="preserve">Product Hunt + HackerNews launch</t>
  </si>
  <si>
    <t xml:space="preserve">Organic launch, no spend</t>
  </si>
  <si>
    <t xml:space="preserve">Subtotal Marketing</t>
  </si>
  <si>
    <t xml:space="preserve">LEGAL, ACCOUNTING, COMPLIANCE (GCC-based)</t>
  </si>
  <si>
    <t xml:space="preserve">Saudi LLC / MISA incorporation</t>
  </si>
  <si>
    <t xml:space="preserve">One-time ~$1,500 annualized</t>
  </si>
  <si>
    <t xml:space="preserve">Legal templates + review</t>
  </si>
  <si>
    <t xml:space="preserve">ToS, DPA, Privacy Policy</t>
  </si>
  <si>
    <t xml:space="preserve">Trademark SAIP (Saudi) + GCC</t>
  </si>
  <si>
    <t xml:space="preserve">One-time $500 annualized</t>
  </si>
  <si>
    <t xml:space="preserve">Bookkeeping (part-time)</t>
  </si>
  <si>
    <t xml:space="preserve">Monthly reconciliation</t>
  </si>
  <si>
    <t xml:space="preserve">Subtotal Legal</t>
  </si>
  <si>
    <t xml:space="preserve">TOOLS &amp; SOFTWARE</t>
  </si>
  <si>
    <t xml:space="preserve">GitHub Teams (3 seats)</t>
  </si>
  <si>
    <t xml:space="preserve">Code hosting</t>
  </si>
  <si>
    <t xml:space="preserve">Linear (3 seats)</t>
  </si>
  <si>
    <t xml:space="preserve">Project management</t>
  </si>
  <si>
    <t xml:space="preserve">Slack Pro (3 seats)</t>
  </si>
  <si>
    <t xml:space="preserve">Team comms</t>
  </si>
  <si>
    <t xml:space="preserve">Notion Team (3 seats)</t>
  </si>
  <si>
    <t xml:space="preserve">Documentation</t>
  </si>
  <si>
    <t xml:space="preserve">Google Workspace (3 seats)</t>
  </si>
  <si>
    <t xml:space="preserve">Email + Drive</t>
  </si>
  <si>
    <t xml:space="preserve">Figma Pro (2 seats)</t>
  </si>
  <si>
    <t xml:space="preserve">Design</t>
  </si>
  <si>
    <t xml:space="preserve">1Password Business (3)</t>
  </si>
  <si>
    <t xml:space="preserve">Password mgmt</t>
  </si>
  <si>
    <t xml:space="preserve">Loom (1 seat)</t>
  </si>
  <si>
    <t xml:space="preserve">Video creation</t>
  </si>
  <si>
    <t xml:space="preserve">Subtotal Tools</t>
  </si>
  <si>
    <t xml:space="preserve">OPERATIONS &amp; MISC</t>
  </si>
  <si>
    <t xml:space="preserve">Bank fees, wires</t>
  </si>
  <si>
    <t xml:space="preserve">Business banking</t>
  </si>
  <si>
    <t xml:space="preserve">Coworking day passes</t>
  </si>
  <si>
    <t xml:space="preserve">Occasional meetings</t>
  </si>
  <si>
    <t xml:space="preserve">Subtotal Ops</t>
  </si>
  <si>
    <t xml:space="preserve">Buffer / contingency (unforeseen)</t>
  </si>
  <si>
    <t xml:space="preserve">Pre-funded reserve for unexpected costs</t>
  </si>
  <si>
    <t xml:space="preserve">TOTAL YEAR 1 BUDGET</t>
  </si>
  <si>
    <t xml:space="preserve">REVENUE BUILD · CUSTOMER COHORTS &amp; ARR</t>
  </si>
  <si>
    <t xml:space="preserve">QUARTERLY BUILD</t>
  </si>
  <si>
    <t xml:space="preserve">Y1Q1</t>
  </si>
  <si>
    <t xml:space="preserve">Y1Q2</t>
  </si>
  <si>
    <t xml:space="preserve">Y1Q3</t>
  </si>
  <si>
    <t xml:space="preserve">Y1Q4</t>
  </si>
  <si>
    <t xml:space="preserve">Y2Q1</t>
  </si>
  <si>
    <t xml:space="preserve">Y2Q2</t>
  </si>
  <si>
    <t xml:space="preserve">Y2Q3</t>
  </si>
  <si>
    <t xml:space="preserve">Y2Q4</t>
  </si>
  <si>
    <t xml:space="preserve">Y3Q1</t>
  </si>
  <si>
    <t xml:space="preserve">Y3Q2</t>
  </si>
  <si>
    <t xml:space="preserve">Y3Q3</t>
  </si>
  <si>
    <t xml:space="preserve">Y3Q4</t>
  </si>
  <si>
    <t xml:space="preserve">Y3 End</t>
  </si>
  <si>
    <t xml:space="preserve">CUSTOMER COUNT</t>
  </si>
  <si>
    <t xml:space="preserve">New customers added</t>
  </si>
  <si>
    <t xml:space="preserve">Quarterly churn (logo)</t>
  </si>
  <si>
    <t xml:space="preserve">Customers lost</t>
  </si>
  <si>
    <t xml:space="preserve">Ending customers (quarter)</t>
  </si>
  <si>
    <t xml:space="preserve">SEATS &amp; ARR</t>
  </si>
  <si>
    <t xml:space="preserve">Total seats</t>
  </si>
  <si>
    <t xml:space="preserve">ARR (end of quarter)</t>
  </si>
  <si>
    <t xml:space="preserve">Quarterly Revenue</t>
  </si>
  <si>
    <t xml:space="preserve">ANNUAL TOTALS</t>
  </si>
  <si>
    <t xml:space="preserve">Year 1</t>
  </si>
  <si>
    <t xml:space="preserve">Year 2</t>
  </si>
  <si>
    <t xml:space="preserve">Year 3</t>
  </si>
  <si>
    <t xml:space="preserve">Annual Revenue</t>
  </si>
  <si>
    <t xml:space="preserve">Ending ARR</t>
  </si>
  <si>
    <t xml:space="preserve">Ending Customers</t>
  </si>
  <si>
    <t xml:space="preserve">UNIT ECONOMICS</t>
  </si>
  <si>
    <t xml:space="preserve">ARPA ($/yr)</t>
  </si>
  <si>
    <t xml:space="preserve">Gross Profit per Account ($/yr)</t>
  </si>
  <si>
    <t xml:space="preserve">Annual Churn</t>
  </si>
  <si>
    <t xml:space="preserve">LTV ($)</t>
  </si>
  <si>
    <t xml:space="preserve">CAC ($, blended from marketing spend / new custs)</t>
  </si>
  <si>
    <t xml:space="preserve">CAC Payback (months)</t>
  </si>
  <si>
    <t xml:space="preserve">LTV : CAC</t>
  </si>
  <si>
    <t xml:space="preserve">INCOME STATEMENT (P&amp;L)</t>
  </si>
  <si>
    <t xml:space="preserve">$ figures</t>
  </si>
  <si>
    <t xml:space="preserve">REVENUE</t>
  </si>
  <si>
    <t xml:space="preserve">Subscription Revenue</t>
  </si>
  <si>
    <t xml:space="preserve">COST OF GOODS SOLD</t>
  </si>
  <si>
    <t xml:space="preserve">Cloud &amp; Infrastructure</t>
  </si>
  <si>
    <t xml:space="preserve">AI/LLM APIs</t>
  </si>
  <si>
    <t xml:space="preserve">Twilio Voice &amp; SMS</t>
  </si>
  <si>
    <t xml:space="preserve">Third-party Integrations</t>
  </si>
  <si>
    <t xml:space="preserve">Payment Processing</t>
  </si>
  <si>
    <t xml:space="preserve">Total COGS</t>
  </si>
  <si>
    <t xml:space="preserve">GROSS PROFIT</t>
  </si>
  <si>
    <t xml:space="preserve">OPERATING EXPENSES (from Assumptions)</t>
  </si>
  <si>
    <t xml:space="preserve">Team (freelance + founder)</t>
  </si>
  <si>
    <t xml:space="preserve">Infrastructure &amp; Reliability</t>
  </si>
  <si>
    <t xml:space="preserve">Marketing</t>
  </si>
  <si>
    <t xml:space="preserve">Legal &amp; Compliance</t>
  </si>
  <si>
    <t xml:space="preserve">Tools &amp; Software</t>
  </si>
  <si>
    <t xml:space="preserve">Operations</t>
  </si>
  <si>
    <t xml:space="preserve">Buffer</t>
  </si>
  <si>
    <t xml:space="preserve">Total OpEx</t>
  </si>
  <si>
    <t xml:space="preserve">OPERATING INCOME (EBITDA)</t>
  </si>
  <si>
    <t xml:space="preserve">Operating Margin %</t>
  </si>
  <si>
    <t xml:space="preserve">Tax @ 20%</t>
  </si>
  <si>
    <t xml:space="preserve">NET INCOME</t>
  </si>
  <si>
    <t xml:space="preserve">CASH FLOW</t>
  </si>
  <si>
    <t xml:space="preserve">Net Income</t>
  </si>
  <si>
    <t xml:space="preserve">Operating Cash Flow (≈ Net Income, SaaS)</t>
  </si>
  <si>
    <t xml:space="preserve">Pre-seed raise (Y1)</t>
  </si>
  <si>
    <t xml:space="preserve">Beginning cash</t>
  </si>
  <si>
    <t xml:space="preserve">Ending cash</t>
  </si>
  <si>
    <t xml:space="preserve">VALUATION · IRR</t>
  </si>
  <si>
    <t xml:space="preserve">PRE-SEED DEAL TERMS</t>
  </si>
  <si>
    <t xml:space="preserve">Pre-seed Investment</t>
  </si>
  <si>
    <t xml:space="preserve">Pre-money valuation</t>
  </si>
  <si>
    <t xml:space="preserve">Post-money valuation</t>
  </si>
  <si>
    <t xml:space="preserve">Investor ownership %</t>
  </si>
  <si>
    <t xml:space="preserve">EXIT SCENARIOS (Y3 ARR × Multiple)</t>
  </si>
  <si>
    <t xml:space="preserve">Conservative</t>
  </si>
  <si>
    <t xml:space="preserve">Base</t>
  </si>
  <si>
    <t xml:space="preserve">Upside</t>
  </si>
  <si>
    <t xml:space="preserve">Year 3 Ending ARR</t>
  </si>
  <si>
    <t xml:space="preserve">Revenue multiple</t>
  </si>
  <si>
    <t xml:space="preserve">Enterprise Value</t>
  </si>
  <si>
    <t xml:space="preserve">Investor share</t>
  </si>
  <si>
    <t xml:space="preserve">MOIC</t>
  </si>
  <si>
    <t xml:space="preserve">IRR (3-yr hold)</t>
  </si>
  <si>
    <t xml:space="preserve">MARKETING CAMPAIGN PLAN · GCC-focused, organic-first</t>
  </si>
  <si>
    <t xml:space="preserve">PHASE 1 — PRE-LAUNCH (Months 1-3) · $500 total</t>
  </si>
  <si>
    <t xml:space="preserve">Founder LinkedIn daily posts</t>
  </si>
  <si>
    <t xml:space="preserve">$0</t>
  </si>
  <si>
    <t xml:space="preserve">Build in public, attract design partners</t>
  </si>
  <si>
    <t xml:space="preserve">Waitlist landing page</t>
  </si>
  <si>
    <t xml:space="preserve">Lead capture, email list</t>
  </si>
  <si>
    <t xml:space="preserve">20 design partner interviews</t>
  </si>
  <si>
    <t xml:space="preserve">$100</t>
  </si>
  <si>
    <t xml:space="preserve">Small perks, coffee credits</t>
  </si>
  <si>
    <t xml:space="preserve">SEO foundation (10 pillar articles)</t>
  </si>
  <si>
    <t xml:space="preserve">$400</t>
  </si>
  <si>
    <t xml:space="preserve">Arabic content writer</t>
  </si>
  <si>
    <t xml:space="preserve">PHASE 2 — LAUNCH (Months 4-6) · $2,000 total</t>
  </si>
  <si>
    <t xml:space="preserve">Product Hunt launch</t>
  </si>
  <si>
    <t xml:space="preserve">Organic, top 5 of day target</t>
  </si>
  <si>
    <t xml:space="preserve">Hacker News Show HN</t>
  </si>
  <si>
    <t xml:space="preserve">Founder-led post</t>
  </si>
  <si>
    <t xml:space="preserve">Reddit r/sales, r/saas (organic)</t>
  </si>
  <si>
    <t xml:space="preserve">Community engagement</t>
  </si>
  <si>
    <t xml:space="preserve">LinkedIn MENA sponsored</t>
  </si>
  <si>
    <t xml:space="preserve">$1,200</t>
  </si>
  <si>
    <t xml:space="preserve">GCC decision-makers, 2-3 months</t>
  </si>
  <si>
    <t xml:space="preserve">Google Ads (Arabic CRM keywords)</t>
  </si>
  <si>
    <t xml:space="preserve">$600</t>
  </si>
  <si>
    <t xml:space="preserve">2-3 months experimental</t>
  </si>
  <si>
    <t xml:space="preserve">YouTube demo videos (DIY)</t>
  </si>
  <si>
    <t xml:space="preserve">$200</t>
  </si>
  <si>
    <t xml:space="preserve">Simple screen recordings + editing</t>
  </si>
  <si>
    <t xml:space="preserve">PHASE 3 — SCALE (Months 7-12) · $3,700 total</t>
  </si>
  <si>
    <t xml:space="preserve">Arabic content marketing (16 articles)</t>
  </si>
  <si>
    <t xml:space="preserve">$75/article, SEO-optimized</t>
  </si>
  <si>
    <t xml:space="preserve">LinkedIn MENA ads continued</t>
  </si>
  <si>
    <t xml:space="preserve">Retargeting + lookalikes</t>
  </si>
  <si>
    <t xml:space="preserve">LEAP / Biban event (shared booth)</t>
  </si>
  <si>
    <t xml:space="preserve">$750</t>
  </si>
  <si>
    <t xml:space="preserve">GCC founder networking</t>
  </si>
  <si>
    <t xml:space="preserve">Affiliate/referral rewards</t>
  </si>
  <si>
    <t xml:space="preserve">$350</t>
  </si>
  <si>
    <t xml:space="preserve">20% commission structure</t>
  </si>
  <si>
    <t xml:space="preserve">Webinar series (monthly)</t>
  </si>
  <si>
    <t xml:space="preserve">Founder-led, free tools</t>
  </si>
  <si>
    <t xml:space="preserve">Case studies from first 50 customers</t>
  </si>
  <si>
    <t xml:space="preserve">Design + copy assistance</t>
  </si>
  <si>
    <t xml:space="preserve">TOTAL Y1 MARKETING</t>
  </si>
  <si>
    <t xml:space="preserve">$6,200</t>
  </si>
  <si>
    <t xml:space="preserve">EXPECTED CAC BY CHANNEL</t>
  </si>
  <si>
    <t xml:space="preserve">Organic / SEO / LinkedIn personal brand</t>
  </si>
  <si>
    <t xml:space="preserve">$5</t>
  </si>
  <si>
    <t xml:space="preserve">Primary driver, free</t>
  </si>
  <si>
    <t xml:space="preserve">Product Hunt / community launch</t>
  </si>
  <si>
    <t xml:space="preserve">$15</t>
  </si>
  <si>
    <t xml:space="preserve">One-time burst</t>
  </si>
  <si>
    <t xml:space="preserve">LinkedIn Ads (targeted)</t>
  </si>
  <si>
    <t xml:space="preserve">$80</t>
  </si>
  <si>
    <t xml:space="preserve">Mid-market GCC</t>
  </si>
  <si>
    <t xml:space="preserve">Google Ads (keyword-targeted)</t>
  </si>
  <si>
    <t xml:space="preserve">$50</t>
  </si>
  <si>
    <t xml:space="preserve">Intent-driven traffic</t>
  </si>
  <si>
    <t xml:space="preserve">Referral / affiliate</t>
  </si>
  <si>
    <t xml:space="preserve">$20</t>
  </si>
  <si>
    <t xml:space="preserve">20% rev share</t>
  </si>
  <si>
    <t xml:space="preserve">Event / LEAP / Biban</t>
  </si>
  <si>
    <t xml:space="preserve">Relationship-driven, high ACV</t>
  </si>
  <si>
    <t xml:space="preserve">BLENDED CAC TARGET</t>
  </si>
  <si>
    <t xml:space="preserve">Heavy organic skew</t>
  </si>
  <si>
    <t xml:space="preserve">RELIABILITY, UPTIME &amp; DISASTER RECOVERY STACK</t>
  </si>
  <si>
    <t xml:space="preserve">CRM is mission-critical — target 99.9% uptime (max ~8.76 hrs downtime/yr)</t>
  </si>
  <si>
    <t xml:space="preserve">REDUNDANCY &amp; AVAILABILITY</t>
  </si>
  <si>
    <t xml:space="preserve">Multi-AZ AWS deployment (3 AZs in me-south-1)</t>
  </si>
  <si>
    <t xml:space="preserve">Included</t>
  </si>
  <si>
    <t xml:space="preserve">High availability, no single point of failure</t>
  </si>
  <si>
    <t xml:space="preserve">PostgreSQL RDS Multi-AZ failover</t>
  </si>
  <si>
    <t xml:space="preserve">Automatic failover in &lt;60 seconds</t>
  </si>
  <si>
    <t xml:space="preserve">Read replicas for query load</t>
  </si>
  <si>
    <t xml:space="preserve">Scales read performance</t>
  </si>
  <si>
    <t xml:space="preserve">Cross-region DR (eu-central-1 Frankfurt)</t>
  </si>
  <si>
    <t xml:space="preserve">$600/yr</t>
  </si>
  <si>
    <t xml:space="preserve">Disaster recovery backup region</t>
  </si>
  <si>
    <t xml:space="preserve">99.9% uptime SLA target</t>
  </si>
  <si>
    <t xml:space="preserve">N/A</t>
  </si>
  <si>
    <t xml:space="preserve">Max 8.76 hrs downtime/year</t>
  </si>
  <si>
    <t xml:space="preserve">MONITORING &amp; ALERTING</t>
  </si>
  <si>
    <t xml:space="preserve">Datadog APM</t>
  </si>
  <si>
    <t xml:space="preserve">$1,200/yr</t>
  </si>
  <si>
    <t xml:space="preserve">Real-time performance, DB queries, API latency</t>
  </si>
  <si>
    <t xml:space="preserve">$312/yr</t>
  </si>
  <si>
    <t xml:space="preserve">Instant exception alerts to Slack</t>
  </si>
  <si>
    <t xml:space="preserve">PagerDuty on-call</t>
  </si>
  <si>
    <t xml:space="preserve">$240/yr</t>
  </si>
  <si>
    <t xml:space="preserve">Alerts founder + devs within 60 seconds</t>
  </si>
  <si>
    <t xml:space="preserve">$84/yr</t>
  </si>
  <si>
    <t xml:space="preserve">Global uptime from 10 locations</t>
  </si>
  <si>
    <t xml:space="preserve">AWS CloudWatch</t>
  </si>
  <si>
    <t xml:space="preserve">Infrastructure metrics, auto-scaling triggers</t>
  </si>
  <si>
    <t xml:space="preserve">SECURITY &amp; DDOS PROTECTION</t>
  </si>
  <si>
    <t xml:space="preserve">Cloudflare Pro</t>
  </si>
  <si>
    <t xml:space="preserve">DDoS, WAF, CDN, bot detection</t>
  </si>
  <si>
    <t xml:space="preserve">AWS Shield Standard</t>
  </si>
  <si>
    <t xml:space="preserve">Free</t>
  </si>
  <si>
    <t xml:space="preserve">Network-layer DDoS protection</t>
  </si>
  <si>
    <t xml:space="preserve">Rate limiting (API gateway)</t>
  </si>
  <si>
    <t xml:space="preserve">Prevents abuse</t>
  </si>
  <si>
    <t xml:space="preserve">Daily automated backups</t>
  </si>
  <si>
    <t xml:space="preserve">$360/yr</t>
  </si>
  <si>
    <t xml:space="preserve">AWS Backup, 35-day retention</t>
  </si>
  <si>
    <t xml:space="preserve">Encryption at rest (AES-256)</t>
  </si>
  <si>
    <t xml:space="preserve">RDS + S3 encryption</t>
  </si>
  <si>
    <t xml:space="preserve">Encryption in transit (TLS 1.3)</t>
  </si>
  <si>
    <t xml:space="preserve">All API + web traffic</t>
  </si>
  <si>
    <t xml:space="preserve">DEPLOYMENT SAFETY</t>
  </si>
  <si>
    <t xml:space="preserve">Blue-green deployments</t>
  </si>
  <si>
    <t xml:space="preserve">Zero-downtime releases</t>
  </si>
  <si>
    <t xml:space="preserve">Feature flags (LaunchDarkly free)</t>
  </si>
  <si>
    <t xml:space="preserve">Instant rollback capability</t>
  </si>
  <si>
    <t xml:space="preserve">CI/CD (GitHub Actions)</t>
  </si>
  <si>
    <t xml:space="preserve">Free (public) / cheap</t>
  </si>
  <si>
    <t xml:space="preserve">Automated testing before deploy</t>
  </si>
  <si>
    <t xml:space="preserve">Staging environment</t>
  </si>
  <si>
    <t xml:space="preserve">Mirrors production, catches bugs</t>
  </si>
  <si>
    <t xml:space="preserve">Backward-compatible schema migrations</t>
  </si>
  <si>
    <t xml:space="preserve">Discipline, not cost</t>
  </si>
  <si>
    <t xml:space="preserve">INCIDENT RESPONSE</t>
  </si>
  <si>
    <t xml:space="preserve">Status page (Instatus free tier)</t>
  </si>
  <si>
    <t xml:space="preserve">Customer transparency during incidents</t>
  </si>
  <si>
    <t xml:space="preserve">Runbook documentation</t>
  </si>
  <si>
    <t xml:space="preserve">Common incident playbooks</t>
  </si>
  <si>
    <t xml:space="preserve">Post-mortem process</t>
  </si>
  <si>
    <t xml:space="preserve">Learn from every outage</t>
  </si>
  <si>
    <t xml:space="preserve">Customer comms within 15 min of incident</t>
  </si>
  <si>
    <t xml:space="preserve">SLA</t>
  </si>
  <si>
    <t xml:space="preserve">Professional trust builder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</si>
</sst>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&quot; mo&quot;"/>
    <numFmt numFmtId="169" formatCode="0.0\x"/>
    <numFmt numFmtId="170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4472C4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4"/>
  </cols>
  <sheetData>
    <row r="2" customFormat="false" ht="33.75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 t="s">
        <v>1</v>
      </c>
    </row>
    <row r="5" customFormat="false" ht="17.2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9" customFormat="false" ht="15" hidden="false" customHeight="true" outlineLevel="0" collapsed="false">
      <c r="B9" s="6" t="s">
        <v>4</v>
      </c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B10" s="8" t="s">
        <v>5</v>
      </c>
      <c r="C10" s="9" t="s">
        <v>6</v>
      </c>
      <c r="D10" s="9"/>
      <c r="E10" s="9"/>
      <c r="F10" s="9"/>
      <c r="G10" s="9"/>
      <c r="H10" s="9"/>
    </row>
    <row r="11" customFormat="false" ht="15" hidden="false" customHeight="true" outlineLevel="0" collapsed="false">
      <c r="B11" s="8" t="s">
        <v>7</v>
      </c>
      <c r="C11" s="9" t="s">
        <v>8</v>
      </c>
      <c r="D11" s="9"/>
      <c r="E11" s="9"/>
      <c r="F11" s="9"/>
      <c r="G11" s="9"/>
      <c r="H11" s="9"/>
    </row>
    <row r="12" customFormat="false" ht="15" hidden="false" customHeight="true" outlineLevel="0" collapsed="false">
      <c r="B12" s="8" t="s">
        <v>9</v>
      </c>
      <c r="C12" s="9" t="s">
        <v>10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B13" s="8" t="s">
        <v>11</v>
      </c>
      <c r="C13" s="9" t="s">
        <v>12</v>
      </c>
      <c r="D13" s="9"/>
      <c r="E13" s="9"/>
      <c r="F13" s="9"/>
      <c r="G13" s="9"/>
      <c r="H13" s="9"/>
    </row>
    <row r="14" customFormat="false" ht="15" hidden="false" customHeight="true" outlineLevel="0" collapsed="false">
      <c r="B14" s="8" t="s">
        <v>13</v>
      </c>
      <c r="C14" s="9" t="s">
        <v>14</v>
      </c>
      <c r="D14" s="9"/>
      <c r="E14" s="9"/>
      <c r="F14" s="9"/>
      <c r="G14" s="9"/>
      <c r="H14" s="9"/>
    </row>
    <row r="15" customFormat="false" ht="15" hidden="false" customHeight="true" outlineLevel="0" collapsed="false">
      <c r="B15" s="8" t="s">
        <v>15</v>
      </c>
      <c r="C15" s="9" t="s">
        <v>16</v>
      </c>
      <c r="D15" s="9"/>
      <c r="E15" s="9"/>
      <c r="F15" s="9"/>
      <c r="G15" s="9"/>
      <c r="H15" s="9"/>
    </row>
    <row r="16" customFormat="false" ht="15" hidden="false" customHeight="true" outlineLevel="0" collapsed="false">
      <c r="B16" s="8" t="s">
        <v>17</v>
      </c>
      <c r="C16" s="9" t="s">
        <v>18</v>
      </c>
      <c r="D16" s="9"/>
      <c r="E16" s="9"/>
      <c r="F16" s="9"/>
      <c r="G16" s="9"/>
      <c r="H16" s="9"/>
    </row>
    <row r="17" customFormat="false" ht="15" hidden="false" customHeight="true" outlineLevel="0" collapsed="false">
      <c r="B17" s="8" t="s">
        <v>19</v>
      </c>
      <c r="C17" s="9" t="s">
        <v>20</v>
      </c>
      <c r="D17" s="9"/>
      <c r="E17" s="9"/>
      <c r="F17" s="9"/>
      <c r="G17" s="9"/>
      <c r="H17" s="9"/>
    </row>
    <row r="18" customFormat="false" ht="15" hidden="false" customHeight="true" outlineLevel="0" collapsed="false">
      <c r="B18" s="8" t="s">
        <v>21</v>
      </c>
      <c r="C18" s="9" t="s">
        <v>22</v>
      </c>
      <c r="D18" s="9"/>
      <c r="E18" s="9"/>
      <c r="F18" s="9"/>
      <c r="G18" s="9"/>
      <c r="H18" s="9"/>
    </row>
    <row r="21" customFormat="false" ht="15" hidden="false" customHeight="true" outlineLevel="0" collapsed="false">
      <c r="B21" s="6" t="s">
        <v>23</v>
      </c>
      <c r="C21" s="7"/>
      <c r="D21" s="7"/>
      <c r="E21" s="7"/>
      <c r="F21" s="7"/>
      <c r="G21" s="7"/>
      <c r="H21" s="7"/>
    </row>
    <row r="22" customFormat="false" ht="15" hidden="false" customHeight="true" outlineLevel="0" collapsed="false">
      <c r="B22" s="8" t="s">
        <v>24</v>
      </c>
      <c r="D22" s="10" t="n">
        <f aca="false">'03 · Revenue Build'!D23</f>
        <v>19200</v>
      </c>
    </row>
    <row r="23" customFormat="false" ht="15" hidden="false" customHeight="true" outlineLevel="0" collapsed="false">
      <c r="B23" s="8" t="s">
        <v>25</v>
      </c>
      <c r="D23" s="11" t="n">
        <f aca="false">'03 · Revenue Build'!D22</f>
        <v>178329600</v>
      </c>
    </row>
    <row r="24" customFormat="false" ht="15" hidden="false" customHeight="true" outlineLevel="0" collapsed="false">
      <c r="B24" s="8" t="s">
        <v>26</v>
      </c>
      <c r="D24" s="11" t="n">
        <f aca="false">'05 · P&amp;L'!D5</f>
        <v>110656125</v>
      </c>
    </row>
    <row r="25" customFormat="false" ht="15" hidden="false" customHeight="true" outlineLevel="0" collapsed="false">
      <c r="B25" s="8" t="s">
        <v>27</v>
      </c>
      <c r="D25" s="12" t="n">
        <f aca="false">'05 · P&amp;L'!D15</f>
        <v>0.81</v>
      </c>
    </row>
    <row r="26" customFormat="false" ht="15" hidden="false" customHeight="true" outlineLevel="0" collapsed="false">
      <c r="B26" s="8" t="s">
        <v>28</v>
      </c>
      <c r="D26" s="11" t="n">
        <f aca="false">'05 · P&amp;L'!D30</f>
        <v>71382769</v>
      </c>
    </row>
    <row r="27" customFormat="false" ht="15" hidden="false" customHeight="true" outlineLevel="0" collapsed="false">
      <c r="B27" s="8" t="s">
        <v>29</v>
      </c>
      <c r="D27" s="11" t="n">
        <f aca="false">'05 · P&amp;L'!B30</f>
        <v>982039.6</v>
      </c>
    </row>
    <row r="28" customFormat="false" ht="15" hidden="false" customHeight="true" outlineLevel="0" collapsed="false">
      <c r="B28" s="8" t="s">
        <v>30</v>
      </c>
      <c r="D28" s="11" t="n">
        <f aca="false">'07 · Valuation'!B4</f>
        <v>100000</v>
      </c>
    </row>
    <row r="29" customFormat="false" ht="15" hidden="false" customHeight="true" outlineLevel="0" collapsed="false">
      <c r="B29" s="8" t="s">
        <v>31</v>
      </c>
      <c r="D29" s="12" t="n">
        <f aca="false">'07 · Valuation'!B7</f>
        <v>0.0625</v>
      </c>
    </row>
  </sheetData>
  <mergeCells count="9"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13" t="s">
        <v>32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33</v>
      </c>
      <c r="B2" s="14"/>
      <c r="C2" s="14"/>
      <c r="D2" s="14"/>
      <c r="E2" s="14"/>
      <c r="F2" s="14"/>
      <c r="G2" s="14"/>
    </row>
    <row r="4" customFormat="false" ht="15" hidden="false" customHeight="true" outlineLevel="0" collapsed="false">
      <c r="B4" s="15" t="s">
        <v>34</v>
      </c>
      <c r="C4" s="15" t="s">
        <v>35</v>
      </c>
      <c r="D4" s="15" t="s">
        <v>36</v>
      </c>
    </row>
    <row r="6" customFormat="false" ht="15" hidden="false" customHeight="true" outlineLevel="0" collapsed="false">
      <c r="A6" s="6" t="s">
        <v>37</v>
      </c>
      <c r="B6" s="7"/>
      <c r="C6" s="7"/>
      <c r="D6" s="7"/>
      <c r="E6" s="7"/>
    </row>
    <row r="7" customFormat="false" ht="15" hidden="false" customHeight="true" outlineLevel="0" collapsed="false">
      <c r="A7" s="16" t="s">
        <v>38</v>
      </c>
      <c r="B7" s="17" t="n">
        <v>0</v>
      </c>
      <c r="C7" s="17" t="n">
        <v>0</v>
      </c>
      <c r="D7" s="17" t="n">
        <v>0</v>
      </c>
    </row>
    <row r="8" customFormat="false" ht="15" hidden="false" customHeight="true" outlineLevel="0" collapsed="false">
      <c r="A8" s="16" t="s">
        <v>39</v>
      </c>
      <c r="B8" s="17" t="n">
        <v>19</v>
      </c>
      <c r="C8" s="17" t="n">
        <v>19</v>
      </c>
      <c r="D8" s="17" t="n">
        <v>19</v>
      </c>
    </row>
    <row r="9" customFormat="false" ht="15" hidden="false" customHeight="true" outlineLevel="0" collapsed="false">
      <c r="A9" s="16" t="s">
        <v>40</v>
      </c>
      <c r="B9" s="17" t="n">
        <v>79</v>
      </c>
      <c r="C9" s="17" t="n">
        <v>79</v>
      </c>
      <c r="D9" s="17" t="n">
        <v>79</v>
      </c>
    </row>
    <row r="10" customFormat="false" ht="15" hidden="false" customHeight="true" outlineLevel="0" collapsed="false">
      <c r="A10" s="16" t="s">
        <v>41</v>
      </c>
      <c r="B10" s="17" t="n">
        <v>129</v>
      </c>
      <c r="C10" s="17" t="n">
        <v>129</v>
      </c>
      <c r="D10" s="17" t="n">
        <v>129</v>
      </c>
    </row>
    <row r="11" customFormat="false" ht="15" hidden="false" customHeight="true" outlineLevel="0" collapsed="false">
      <c r="A11" s="16" t="s">
        <v>42</v>
      </c>
      <c r="B11" s="17" t="n">
        <v>199</v>
      </c>
      <c r="C11" s="17" t="n">
        <v>199</v>
      </c>
      <c r="D11" s="17" t="n">
        <v>199</v>
      </c>
    </row>
    <row r="12" customFormat="false" ht="15" hidden="false" customHeight="true" outlineLevel="0" collapsed="false">
      <c r="A12" s="16" t="s">
        <v>43</v>
      </c>
      <c r="B12" s="17" t="n">
        <v>249</v>
      </c>
      <c r="C12" s="17" t="n">
        <v>249</v>
      </c>
      <c r="D12" s="17" t="n">
        <v>249</v>
      </c>
    </row>
    <row r="13" customFormat="false" ht="15" hidden="false" customHeight="true" outlineLevel="0" collapsed="false">
      <c r="A13" s="16" t="s">
        <v>44</v>
      </c>
      <c r="B13" s="17" t="n">
        <v>299</v>
      </c>
      <c r="C13" s="17" t="n">
        <v>299</v>
      </c>
      <c r="D13" s="17" t="n">
        <v>299</v>
      </c>
    </row>
    <row r="14" customFormat="false" ht="15" hidden="false" customHeight="true" outlineLevel="0" collapsed="false">
      <c r="A14" s="16" t="s">
        <v>45</v>
      </c>
      <c r="B14" s="18" t="n">
        <v>0.5</v>
      </c>
      <c r="C14" s="18" t="n">
        <v>0.4</v>
      </c>
      <c r="D14" s="18" t="n">
        <v>0.35</v>
      </c>
    </row>
    <row r="15" customFormat="false" ht="15" hidden="false" customHeight="true" outlineLevel="0" collapsed="false">
      <c r="A15" s="16" t="s">
        <v>46</v>
      </c>
      <c r="B15" s="18" t="n">
        <v>0.35</v>
      </c>
      <c r="C15" s="18" t="n">
        <v>0.4</v>
      </c>
      <c r="D15" s="18" t="n">
        <v>0.4</v>
      </c>
    </row>
    <row r="16" customFormat="false" ht="15" hidden="false" customHeight="true" outlineLevel="0" collapsed="false">
      <c r="A16" s="16" t="s">
        <v>47</v>
      </c>
      <c r="B16" s="18" t="n">
        <v>0.12</v>
      </c>
      <c r="C16" s="18" t="n">
        <v>0.15</v>
      </c>
      <c r="D16" s="18" t="n">
        <v>0.18</v>
      </c>
    </row>
    <row r="17" customFormat="false" ht="15" hidden="false" customHeight="true" outlineLevel="0" collapsed="false">
      <c r="A17" s="16" t="s">
        <v>48</v>
      </c>
      <c r="B17" s="18" t="n">
        <v>0.02</v>
      </c>
      <c r="C17" s="18" t="n">
        <v>0.03</v>
      </c>
      <c r="D17" s="18" t="n">
        <v>0.04</v>
      </c>
    </row>
    <row r="18" customFormat="false" ht="15" hidden="false" customHeight="true" outlineLevel="0" collapsed="false">
      <c r="A18" s="16" t="s">
        <v>49</v>
      </c>
      <c r="B18" s="18" t="n">
        <v>0.01</v>
      </c>
      <c r="C18" s="18" t="n">
        <v>0.015</v>
      </c>
      <c r="D18" s="18" t="n">
        <v>0.02</v>
      </c>
    </row>
    <row r="19" customFormat="false" ht="15" hidden="false" customHeight="true" outlineLevel="0" collapsed="false">
      <c r="A19" s="16" t="s">
        <v>50</v>
      </c>
      <c r="B19" s="18" t="n">
        <v>0</v>
      </c>
      <c r="C19" s="18" t="n">
        <v>0.005</v>
      </c>
      <c r="D19" s="18" t="n">
        <v>0.01</v>
      </c>
    </row>
    <row r="20" customFormat="false" ht="15" hidden="false" customHeight="true" outlineLevel="0" collapsed="false">
      <c r="A20" s="8" t="s">
        <v>51</v>
      </c>
      <c r="B20" s="19" t="n">
        <f aca="false">B8*B14+B9*B15+B10*B16+B11*B17+B12*B18+B13*B19</f>
        <v>59.1</v>
      </c>
      <c r="C20" s="19" t="n">
        <f aca="false">C8*C14+C9*C15+C10*C16+C11*C17+C12*C18+C13*C19</f>
        <v>69.75</v>
      </c>
      <c r="D20" s="19" t="n">
        <f aca="false">D8*D14+D9*D15+D10*D16+D11*D17+D12*D18+D13*D19</f>
        <v>77.4</v>
      </c>
    </row>
    <row r="22" customFormat="false" ht="15" hidden="false" customHeight="true" outlineLevel="0" collapsed="false">
      <c r="A22" s="6" t="s">
        <v>52</v>
      </c>
      <c r="B22" s="7"/>
      <c r="C22" s="7"/>
      <c r="D22" s="7"/>
      <c r="E22" s="7"/>
    </row>
    <row r="23" customFormat="false" ht="15" hidden="false" customHeight="true" outlineLevel="0" collapsed="false">
      <c r="A23" s="16" t="s">
        <v>53</v>
      </c>
      <c r="B23" s="20" t="n">
        <v>1200</v>
      </c>
      <c r="C23" s="20" t="n">
        <v>5000</v>
      </c>
      <c r="D23" s="20" t="n">
        <v>13000</v>
      </c>
    </row>
    <row r="24" customFormat="false" ht="15" hidden="false" customHeight="true" outlineLevel="0" collapsed="false">
      <c r="A24" s="16" t="s">
        <v>54</v>
      </c>
      <c r="B24" s="20" t="n">
        <v>5</v>
      </c>
      <c r="C24" s="20" t="n">
        <v>7</v>
      </c>
      <c r="D24" s="20" t="n">
        <v>10</v>
      </c>
    </row>
    <row r="25" customFormat="false" ht="15" hidden="false" customHeight="true" outlineLevel="0" collapsed="false">
      <c r="A25" s="16" t="s">
        <v>55</v>
      </c>
      <c r="B25" s="18" t="n">
        <v>0.1</v>
      </c>
      <c r="C25" s="18" t="n">
        <v>0.08</v>
      </c>
      <c r="D25" s="18" t="n">
        <v>0.06</v>
      </c>
    </row>
    <row r="26" customFormat="false" ht="15" hidden="false" customHeight="true" outlineLevel="0" collapsed="false">
      <c r="A26" s="16" t="s">
        <v>56</v>
      </c>
      <c r="B26" s="18" t="n">
        <v>1.12</v>
      </c>
      <c r="C26" s="18" t="n">
        <v>1.18</v>
      </c>
      <c r="D26" s="18" t="n">
        <v>1.25</v>
      </c>
    </row>
    <row r="27" customFormat="false" ht="15" hidden="false" customHeight="true" outlineLevel="0" collapsed="false">
      <c r="A27" s="16" t="s">
        <v>57</v>
      </c>
      <c r="B27" s="20" t="n">
        <v>0</v>
      </c>
      <c r="C27" s="20" t="n">
        <v>0</v>
      </c>
      <c r="D27" s="20" t="n">
        <v>0</v>
      </c>
    </row>
    <row r="29" customFormat="false" ht="15" hidden="false" customHeight="true" outlineLevel="0" collapsed="false">
      <c r="A29" s="6" t="s">
        <v>58</v>
      </c>
      <c r="B29" s="7"/>
      <c r="C29" s="7"/>
      <c r="D29" s="7"/>
      <c r="E29" s="7"/>
    </row>
    <row r="30" customFormat="false" ht="15" hidden="false" customHeight="true" outlineLevel="0" collapsed="false">
      <c r="A30" s="16" t="s">
        <v>59</v>
      </c>
      <c r="B30" s="18" t="n">
        <v>0.07</v>
      </c>
      <c r="C30" s="18" t="n">
        <v>0.06</v>
      </c>
      <c r="D30" s="18" t="n">
        <v>0.05</v>
      </c>
    </row>
    <row r="31" customFormat="false" ht="15" hidden="false" customHeight="true" outlineLevel="0" collapsed="false">
      <c r="A31" s="16" t="s">
        <v>60</v>
      </c>
      <c r="B31" s="18" t="n">
        <v>0.08</v>
      </c>
      <c r="C31" s="18" t="n">
        <v>0.07</v>
      </c>
      <c r="D31" s="18" t="n">
        <v>0.06</v>
      </c>
    </row>
    <row r="32" customFormat="false" ht="15" hidden="false" customHeight="true" outlineLevel="0" collapsed="false">
      <c r="A32" s="16" t="s">
        <v>61</v>
      </c>
      <c r="B32" s="18" t="n">
        <v>0.03</v>
      </c>
      <c r="C32" s="18" t="n">
        <v>0.03</v>
      </c>
      <c r="D32" s="18" t="n">
        <v>0.03</v>
      </c>
    </row>
    <row r="33" customFormat="false" ht="15" hidden="false" customHeight="true" outlineLevel="0" collapsed="false">
      <c r="A33" s="16" t="s">
        <v>62</v>
      </c>
      <c r="B33" s="18" t="n">
        <v>0.02</v>
      </c>
      <c r="C33" s="18" t="n">
        <v>0.02</v>
      </c>
      <c r="D33" s="18" t="n">
        <v>0.02</v>
      </c>
    </row>
    <row r="34" customFormat="false" ht="15" hidden="false" customHeight="true" outlineLevel="0" collapsed="false">
      <c r="A34" s="16" t="s">
        <v>63</v>
      </c>
      <c r="B34" s="18" t="n">
        <v>0.03</v>
      </c>
      <c r="C34" s="18" t="n">
        <v>0.03</v>
      </c>
      <c r="D34" s="18" t="n">
        <v>0.03</v>
      </c>
    </row>
    <row r="35" customFormat="false" ht="15" hidden="false" customHeight="true" outlineLevel="0" collapsed="false">
      <c r="A35" s="8" t="s">
        <v>64</v>
      </c>
      <c r="B35" s="21" t="n">
        <f aca="false">SUM(B30:B34)</f>
        <v>0.23</v>
      </c>
      <c r="C35" s="21" t="n">
        <f aca="false">SUM(C30:C34)</f>
        <v>0.21</v>
      </c>
      <c r="D35" s="21" t="n">
        <f aca="false">SUM(D30:D34)</f>
        <v>0.19</v>
      </c>
    </row>
    <row r="36" customFormat="false" ht="15" hidden="false" customHeight="true" outlineLevel="0" collapsed="false">
      <c r="A36" s="8" t="s">
        <v>65</v>
      </c>
      <c r="B36" s="21" t="n">
        <f aca="false">1-B35</f>
        <v>0.77</v>
      </c>
      <c r="C36" s="21" t="n">
        <f aca="false">1-C35</f>
        <v>0.79</v>
      </c>
      <c r="D36" s="21" t="n">
        <f aca="false">1-D35</f>
        <v>0.81</v>
      </c>
    </row>
    <row r="38" customFormat="false" ht="15" hidden="false" customHeight="true" outlineLevel="0" collapsed="false">
      <c r="A38" s="6" t="s">
        <v>66</v>
      </c>
      <c r="B38" s="7"/>
      <c r="C38" s="7"/>
      <c r="D38" s="7"/>
      <c r="E38" s="7"/>
    </row>
    <row r="39" customFormat="false" ht="15" hidden="false" customHeight="true" outlineLevel="0" collapsed="false">
      <c r="A39" s="16" t="s">
        <v>67</v>
      </c>
      <c r="B39" s="17" t="n">
        <v>33600</v>
      </c>
      <c r="C39" s="17" t="n">
        <v>72000</v>
      </c>
      <c r="D39" s="17" t="n">
        <v>180000</v>
      </c>
    </row>
    <row r="40" customFormat="false" ht="15" hidden="false" customHeight="true" outlineLevel="0" collapsed="false">
      <c r="A40" s="16" t="s">
        <v>68</v>
      </c>
      <c r="B40" s="17" t="n">
        <v>13426</v>
      </c>
      <c r="C40" s="17" t="n">
        <v>35000</v>
      </c>
      <c r="D40" s="17" t="n">
        <v>85000</v>
      </c>
    </row>
    <row r="41" customFormat="false" ht="15" hidden="false" customHeight="true" outlineLevel="0" collapsed="false">
      <c r="A41" s="16" t="s">
        <v>69</v>
      </c>
      <c r="B41" s="17" t="n">
        <v>6200</v>
      </c>
      <c r="C41" s="17" t="n">
        <v>25000</v>
      </c>
      <c r="D41" s="17" t="n">
        <v>80000</v>
      </c>
    </row>
    <row r="42" customFormat="false" ht="15" hidden="false" customHeight="true" outlineLevel="0" collapsed="false">
      <c r="A42" s="16" t="s">
        <v>70</v>
      </c>
      <c r="B42" s="17" t="n">
        <v>4100</v>
      </c>
      <c r="C42" s="17" t="n">
        <v>8000</v>
      </c>
      <c r="D42" s="17" t="n">
        <v>18000</v>
      </c>
    </row>
    <row r="43" customFormat="false" ht="15" hidden="false" customHeight="true" outlineLevel="0" collapsed="false">
      <c r="A43" s="16" t="s">
        <v>71</v>
      </c>
      <c r="B43" s="17" t="n">
        <v>2304</v>
      </c>
      <c r="C43" s="17" t="n">
        <v>5000</v>
      </c>
      <c r="D43" s="17" t="n">
        <v>12000</v>
      </c>
    </row>
    <row r="44" customFormat="false" ht="15" hidden="false" customHeight="true" outlineLevel="0" collapsed="false">
      <c r="A44" s="16" t="s">
        <v>72</v>
      </c>
      <c r="B44" s="17" t="n">
        <v>900</v>
      </c>
      <c r="C44" s="17" t="n">
        <v>3000</v>
      </c>
      <c r="D44" s="17" t="n">
        <v>8000</v>
      </c>
    </row>
    <row r="45" customFormat="false" ht="15" hidden="false" customHeight="true" outlineLevel="0" collapsed="false">
      <c r="A45" s="16" t="s">
        <v>73</v>
      </c>
      <c r="B45" s="17" t="n">
        <v>8870</v>
      </c>
      <c r="C45" s="17" t="n">
        <v>12000</v>
      </c>
      <c r="D45" s="17" t="n">
        <v>20000</v>
      </c>
    </row>
    <row r="46" customFormat="false" ht="15" hidden="false" customHeight="true" outlineLevel="0" collapsed="false">
      <c r="A46" s="8" t="s">
        <v>74</v>
      </c>
      <c r="B46" s="22" t="n">
        <f aca="false">SUM(B39:B45)</f>
        <v>69400</v>
      </c>
      <c r="C46" s="22" t="n">
        <f aca="false">SUM(C39:C45)</f>
        <v>160000</v>
      </c>
      <c r="D46" s="22" t="n">
        <f aca="false">SUM(D39:D45)</f>
        <v>403000</v>
      </c>
    </row>
    <row r="48" customFormat="false" ht="15" hidden="false" customHeight="true" outlineLevel="0" collapsed="false">
      <c r="A48" s="6" t="s">
        <v>75</v>
      </c>
      <c r="B48" s="7"/>
      <c r="C48" s="7"/>
      <c r="D48" s="7"/>
      <c r="E48" s="7"/>
    </row>
    <row r="49" customFormat="false" ht="15" hidden="false" customHeight="true" outlineLevel="0" collapsed="false">
      <c r="A49" s="16" t="s">
        <v>76</v>
      </c>
      <c r="B49" s="18" t="n">
        <v>0.2</v>
      </c>
      <c r="C49" s="18" t="n">
        <v>0.2</v>
      </c>
      <c r="D49" s="18" t="n">
        <v>0.2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4"/>
    <col collapsed="false" customWidth="true" hidden="false" outlineLevel="0" max="5" min="5" style="1" width="40"/>
  </cols>
  <sheetData>
    <row r="1" customFormat="false" ht="19.5" hidden="false" customHeight="true" outlineLevel="0" collapsed="false">
      <c r="A1" s="13" t="s">
        <v>77</v>
      </c>
      <c r="B1" s="13"/>
      <c r="C1" s="13"/>
      <c r="D1" s="13"/>
      <c r="E1" s="13"/>
    </row>
    <row r="3" customFormat="false" ht="15" hidden="false" customHeight="true" outlineLevel="0" collapsed="false">
      <c r="A3" s="6" t="s">
        <v>78</v>
      </c>
      <c r="B3" s="15" t="s">
        <v>79</v>
      </c>
      <c r="C3" s="15" t="s">
        <v>80</v>
      </c>
      <c r="D3" s="15" t="s">
        <v>81</v>
      </c>
      <c r="E3" s="15" t="s">
        <v>82</v>
      </c>
    </row>
    <row r="4" customFormat="false" ht="15" hidden="false" customHeight="true" outlineLevel="0" collapsed="false">
      <c r="A4" s="23" t="s">
        <v>83</v>
      </c>
      <c r="B4" s="24"/>
      <c r="C4" s="24"/>
      <c r="D4" s="24"/>
      <c r="E4" s="24"/>
    </row>
    <row r="5" customFormat="false" ht="15" hidden="false" customHeight="true" outlineLevel="0" collapsed="false">
      <c r="A5" s="16" t="s">
        <v>84</v>
      </c>
      <c r="B5" s="25" t="n">
        <v>800</v>
      </c>
      <c r="C5" s="26" t="n">
        <v>12</v>
      </c>
      <c r="D5" s="27" t="n">
        <f aca="false">B5*C5</f>
        <v>9600</v>
      </c>
      <c r="E5" s="28" t="s">
        <v>85</v>
      </c>
    </row>
    <row r="6" customFormat="false" ht="15" hidden="false" customHeight="true" outlineLevel="0" collapsed="false">
      <c r="A6" s="16" t="s">
        <v>86</v>
      </c>
      <c r="B6" s="25" t="n">
        <v>2000</v>
      </c>
      <c r="C6" s="26" t="n">
        <v>12</v>
      </c>
      <c r="D6" s="27" t="n">
        <f aca="false">B6*C6</f>
        <v>24000</v>
      </c>
      <c r="E6" s="28" t="s">
        <v>87</v>
      </c>
    </row>
    <row r="7" customFormat="false" ht="15" hidden="false" customHeight="true" outlineLevel="0" collapsed="false">
      <c r="A7" s="16" t="s">
        <v>88</v>
      </c>
      <c r="B7" s="25" t="n">
        <v>0</v>
      </c>
      <c r="C7" s="26" t="n">
        <v>12</v>
      </c>
      <c r="D7" s="27" t="n">
        <f aca="false">B7*C7</f>
        <v>0</v>
      </c>
      <c r="E7" s="28" t="s">
        <v>89</v>
      </c>
    </row>
    <row r="8" customFormat="false" ht="15" hidden="false" customHeight="true" outlineLevel="0" collapsed="false">
      <c r="A8" s="8" t="s">
        <v>90</v>
      </c>
      <c r="D8" s="22" t="n">
        <f aca="false">SUM(D5:D7)</f>
        <v>33600</v>
      </c>
    </row>
    <row r="10" customFormat="false" ht="15" hidden="false" customHeight="true" outlineLevel="0" collapsed="false">
      <c r="A10" s="23" t="s">
        <v>91</v>
      </c>
      <c r="B10" s="24"/>
      <c r="C10" s="24"/>
      <c r="D10" s="24"/>
      <c r="E10" s="24"/>
    </row>
    <row r="11" customFormat="false" ht="15" hidden="false" customHeight="true" outlineLevel="0" collapsed="false">
      <c r="A11" s="16" t="s">
        <v>92</v>
      </c>
      <c r="B11" s="25" t="n">
        <v>150</v>
      </c>
      <c r="C11" s="26" t="n">
        <v>12</v>
      </c>
      <c r="D11" s="27" t="n">
        <f aca="false">B11*C11</f>
        <v>1800</v>
      </c>
      <c r="E11" s="28" t="s">
        <v>93</v>
      </c>
    </row>
    <row r="12" customFormat="false" ht="15" hidden="false" customHeight="true" outlineLevel="0" collapsed="false">
      <c r="A12" s="16" t="s">
        <v>94</v>
      </c>
      <c r="B12" s="25" t="n">
        <v>50</v>
      </c>
      <c r="C12" s="26" t="n">
        <v>12</v>
      </c>
      <c r="D12" s="27" t="n">
        <f aca="false">B12*C12</f>
        <v>600</v>
      </c>
      <c r="E12" s="28" t="s">
        <v>95</v>
      </c>
    </row>
    <row r="13" customFormat="false" ht="15" hidden="false" customHeight="true" outlineLevel="0" collapsed="false">
      <c r="A13" s="16" t="s">
        <v>96</v>
      </c>
      <c r="B13" s="25" t="n">
        <v>20</v>
      </c>
      <c r="C13" s="26" t="n">
        <v>12</v>
      </c>
      <c r="D13" s="27" t="n">
        <f aca="false">B13*C13</f>
        <v>240</v>
      </c>
      <c r="E13" s="28" t="s">
        <v>97</v>
      </c>
    </row>
    <row r="14" customFormat="false" ht="15" hidden="false" customHeight="true" outlineLevel="0" collapsed="false">
      <c r="A14" s="16" t="s">
        <v>98</v>
      </c>
      <c r="B14" s="25" t="n">
        <v>100</v>
      </c>
      <c r="C14" s="26" t="n">
        <v>12</v>
      </c>
      <c r="D14" s="27" t="n">
        <f aca="false">B14*C14</f>
        <v>1200</v>
      </c>
      <c r="E14" s="28" t="s">
        <v>99</v>
      </c>
    </row>
    <row r="15" customFormat="false" ht="15" hidden="false" customHeight="true" outlineLevel="0" collapsed="false">
      <c r="A15" s="16" t="s">
        <v>100</v>
      </c>
      <c r="B15" s="25" t="n">
        <v>26</v>
      </c>
      <c r="C15" s="26" t="n">
        <v>12</v>
      </c>
      <c r="D15" s="27" t="n">
        <f aca="false">B15*C15</f>
        <v>312</v>
      </c>
      <c r="E15" s="28" t="s">
        <v>101</v>
      </c>
    </row>
    <row r="16" customFormat="false" ht="15" hidden="false" customHeight="true" outlineLevel="0" collapsed="false">
      <c r="A16" s="16" t="s">
        <v>102</v>
      </c>
      <c r="B16" s="25" t="n">
        <v>20</v>
      </c>
      <c r="C16" s="26" t="n">
        <v>12</v>
      </c>
      <c r="D16" s="27" t="n">
        <f aca="false">B16*C16</f>
        <v>240</v>
      </c>
      <c r="E16" s="28" t="s">
        <v>103</v>
      </c>
    </row>
    <row r="17" customFormat="false" ht="15" hidden="false" customHeight="true" outlineLevel="0" collapsed="false">
      <c r="A17" s="16" t="s">
        <v>104</v>
      </c>
      <c r="B17" s="25" t="n">
        <v>7</v>
      </c>
      <c r="C17" s="26" t="n">
        <v>12</v>
      </c>
      <c r="D17" s="27" t="n">
        <f aca="false">B17*C17</f>
        <v>84</v>
      </c>
      <c r="E17" s="28" t="s">
        <v>105</v>
      </c>
    </row>
    <row r="18" customFormat="false" ht="15" hidden="false" customHeight="true" outlineLevel="0" collapsed="false">
      <c r="A18" s="16" t="s">
        <v>106</v>
      </c>
      <c r="B18" s="25" t="n">
        <v>30</v>
      </c>
      <c r="C18" s="26" t="n">
        <v>12</v>
      </c>
      <c r="D18" s="27" t="n">
        <f aca="false">B18*C18</f>
        <v>360</v>
      </c>
      <c r="E18" s="28" t="s">
        <v>107</v>
      </c>
    </row>
    <row r="19" customFormat="false" ht="15" hidden="false" customHeight="true" outlineLevel="0" collapsed="false">
      <c r="A19" s="16" t="s">
        <v>108</v>
      </c>
      <c r="B19" s="25" t="n">
        <v>400</v>
      </c>
      <c r="C19" s="26" t="n">
        <v>12</v>
      </c>
      <c r="D19" s="27" t="n">
        <f aca="false">B19*C19</f>
        <v>4800</v>
      </c>
      <c r="E19" s="28" t="s">
        <v>109</v>
      </c>
    </row>
    <row r="20" customFormat="false" ht="15" hidden="false" customHeight="true" outlineLevel="0" collapsed="false">
      <c r="A20" s="16" t="s">
        <v>110</v>
      </c>
      <c r="B20" s="25" t="n">
        <v>150</v>
      </c>
      <c r="C20" s="26" t="n">
        <v>12</v>
      </c>
      <c r="D20" s="27" t="n">
        <f aca="false">B20*C20</f>
        <v>1800</v>
      </c>
      <c r="E20" s="28" t="s">
        <v>111</v>
      </c>
    </row>
    <row r="21" customFormat="false" ht="15" hidden="false" customHeight="true" outlineLevel="0" collapsed="false">
      <c r="A21" s="16" t="s">
        <v>112</v>
      </c>
      <c r="B21" s="25" t="n">
        <v>125</v>
      </c>
      <c r="C21" s="26" t="n">
        <v>12</v>
      </c>
      <c r="D21" s="27" t="n">
        <f aca="false">B21*C21</f>
        <v>1500</v>
      </c>
      <c r="E21" s="28" t="s">
        <v>113</v>
      </c>
    </row>
    <row r="22" customFormat="false" ht="15" hidden="false" customHeight="true" outlineLevel="0" collapsed="false">
      <c r="A22" s="16" t="s">
        <v>114</v>
      </c>
      <c r="B22" s="25" t="n">
        <v>50</v>
      </c>
      <c r="C22" s="26" t="n">
        <v>12</v>
      </c>
      <c r="D22" s="27" t="n">
        <f aca="false">B22*C22</f>
        <v>600</v>
      </c>
      <c r="E22" s="28" t="s">
        <v>115</v>
      </c>
    </row>
    <row r="23" customFormat="false" ht="15" hidden="false" customHeight="true" outlineLevel="0" collapsed="false">
      <c r="A23" s="16" t="s">
        <v>116</v>
      </c>
      <c r="B23" s="25" t="n">
        <v>3</v>
      </c>
      <c r="C23" s="26" t="n">
        <v>12</v>
      </c>
      <c r="D23" s="27" t="n">
        <f aca="false">B23*C23</f>
        <v>36</v>
      </c>
      <c r="E23" s="28" t="s">
        <v>117</v>
      </c>
    </row>
    <row r="24" customFormat="false" ht="15" hidden="false" customHeight="true" outlineLevel="0" collapsed="false">
      <c r="A24" s="8" t="s">
        <v>118</v>
      </c>
      <c r="D24" s="22" t="n">
        <f aca="false">SUM(D11:D23)</f>
        <v>13572</v>
      </c>
    </row>
    <row r="26" customFormat="false" ht="15" hidden="false" customHeight="true" outlineLevel="0" collapsed="false">
      <c r="A26" s="23" t="s">
        <v>119</v>
      </c>
      <c r="B26" s="24"/>
      <c r="C26" s="24"/>
      <c r="D26" s="24"/>
      <c r="E26" s="24"/>
    </row>
    <row r="27" customFormat="false" ht="15" hidden="false" customHeight="true" outlineLevel="0" collapsed="false">
      <c r="A27" s="16" t="s">
        <v>120</v>
      </c>
      <c r="B27" s="25" t="n">
        <v>200</v>
      </c>
      <c r="C27" s="26" t="n">
        <v>12</v>
      </c>
      <c r="D27" s="27" t="n">
        <f aca="false">B27*C27</f>
        <v>2400</v>
      </c>
      <c r="E27" s="28" t="s">
        <v>121</v>
      </c>
    </row>
    <row r="28" customFormat="false" ht="15" hidden="false" customHeight="true" outlineLevel="0" collapsed="false">
      <c r="A28" s="16" t="s">
        <v>122</v>
      </c>
      <c r="B28" s="25" t="n">
        <v>150</v>
      </c>
      <c r="C28" s="26" t="n">
        <v>12</v>
      </c>
      <c r="D28" s="27" t="n">
        <f aca="false">B28*C28</f>
        <v>1800</v>
      </c>
      <c r="E28" s="28" t="s">
        <v>123</v>
      </c>
    </row>
    <row r="29" customFormat="false" ht="15" hidden="false" customHeight="true" outlineLevel="0" collapsed="false">
      <c r="A29" s="16" t="s">
        <v>124</v>
      </c>
      <c r="B29" s="25" t="n">
        <v>125</v>
      </c>
      <c r="C29" s="26" t="n">
        <v>12</v>
      </c>
      <c r="D29" s="27" t="n">
        <f aca="false">B29*C29</f>
        <v>1500</v>
      </c>
      <c r="E29" s="28" t="s">
        <v>125</v>
      </c>
    </row>
    <row r="30" customFormat="false" ht="15" hidden="false" customHeight="true" outlineLevel="0" collapsed="false">
      <c r="A30" s="16" t="s">
        <v>126</v>
      </c>
      <c r="B30" s="25" t="n">
        <v>42</v>
      </c>
      <c r="C30" s="26" t="n">
        <v>12</v>
      </c>
      <c r="D30" s="27" t="n">
        <f aca="false">B30*C30</f>
        <v>504</v>
      </c>
      <c r="E30" s="28" t="s">
        <v>127</v>
      </c>
    </row>
    <row r="31" customFormat="false" ht="15" hidden="false" customHeight="true" outlineLevel="0" collapsed="false">
      <c r="A31" s="16" t="s">
        <v>128</v>
      </c>
      <c r="B31" s="25" t="n">
        <v>0</v>
      </c>
      <c r="C31" s="26" t="n">
        <v>12</v>
      </c>
      <c r="D31" s="27" t="n">
        <f aca="false">B31*C31</f>
        <v>0</v>
      </c>
      <c r="E31" s="28" t="s">
        <v>129</v>
      </c>
    </row>
    <row r="32" customFormat="false" ht="15" hidden="false" customHeight="true" outlineLevel="0" collapsed="false">
      <c r="A32" s="16" t="s">
        <v>130</v>
      </c>
      <c r="B32" s="25" t="n">
        <v>0</v>
      </c>
      <c r="C32" s="26" t="n">
        <v>12</v>
      </c>
      <c r="D32" s="27" t="n">
        <f aca="false">B32*C32</f>
        <v>0</v>
      </c>
      <c r="E32" s="28" t="s">
        <v>131</v>
      </c>
    </row>
    <row r="33" customFormat="false" ht="15" hidden="false" customHeight="true" outlineLevel="0" collapsed="false">
      <c r="A33" s="8" t="s">
        <v>132</v>
      </c>
      <c r="D33" s="22" t="n">
        <f aca="false">SUM(D27:D32)</f>
        <v>6204</v>
      </c>
    </row>
    <row r="35" customFormat="false" ht="15" hidden="false" customHeight="true" outlineLevel="0" collapsed="false">
      <c r="A35" s="23" t="s">
        <v>133</v>
      </c>
      <c r="B35" s="24"/>
      <c r="C35" s="24"/>
      <c r="D35" s="24"/>
      <c r="E35" s="24"/>
    </row>
    <row r="36" customFormat="false" ht="15" hidden="false" customHeight="true" outlineLevel="0" collapsed="false">
      <c r="A36" s="16" t="s">
        <v>134</v>
      </c>
      <c r="B36" s="25" t="n">
        <v>125</v>
      </c>
      <c r="C36" s="26" t="n">
        <v>12</v>
      </c>
      <c r="D36" s="27" t="n">
        <f aca="false">B36*C36</f>
        <v>1500</v>
      </c>
      <c r="E36" s="28" t="s">
        <v>135</v>
      </c>
    </row>
    <row r="37" customFormat="false" ht="15" hidden="false" customHeight="true" outlineLevel="0" collapsed="false">
      <c r="A37" s="16" t="s">
        <v>136</v>
      </c>
      <c r="B37" s="25" t="n">
        <v>125</v>
      </c>
      <c r="C37" s="26" t="n">
        <v>12</v>
      </c>
      <c r="D37" s="27" t="n">
        <f aca="false">B37*C37</f>
        <v>1500</v>
      </c>
      <c r="E37" s="28" t="s">
        <v>137</v>
      </c>
    </row>
    <row r="38" customFormat="false" ht="15" hidden="false" customHeight="true" outlineLevel="0" collapsed="false">
      <c r="A38" s="16" t="s">
        <v>138</v>
      </c>
      <c r="B38" s="25" t="n">
        <v>42</v>
      </c>
      <c r="C38" s="26" t="n">
        <v>12</v>
      </c>
      <c r="D38" s="27" t="n">
        <f aca="false">B38*C38</f>
        <v>504</v>
      </c>
      <c r="E38" s="28" t="s">
        <v>139</v>
      </c>
    </row>
    <row r="39" customFormat="false" ht="15" hidden="false" customHeight="true" outlineLevel="0" collapsed="false">
      <c r="A39" s="16" t="s">
        <v>140</v>
      </c>
      <c r="B39" s="25" t="n">
        <v>50</v>
      </c>
      <c r="C39" s="26" t="n">
        <v>12</v>
      </c>
      <c r="D39" s="27" t="n">
        <f aca="false">B39*C39</f>
        <v>600</v>
      </c>
      <c r="E39" s="28" t="s">
        <v>141</v>
      </c>
    </row>
    <row r="40" customFormat="false" ht="15" hidden="false" customHeight="true" outlineLevel="0" collapsed="false">
      <c r="A40" s="8" t="s">
        <v>142</v>
      </c>
      <c r="D40" s="22" t="n">
        <f aca="false">SUM(D36:D39)</f>
        <v>4104</v>
      </c>
    </row>
    <row r="42" customFormat="false" ht="15" hidden="false" customHeight="true" outlineLevel="0" collapsed="false">
      <c r="A42" s="23" t="s">
        <v>143</v>
      </c>
      <c r="B42" s="24"/>
      <c r="C42" s="24"/>
      <c r="D42" s="24"/>
      <c r="E42" s="24"/>
    </row>
    <row r="43" customFormat="false" ht="15" hidden="false" customHeight="true" outlineLevel="0" collapsed="false">
      <c r="A43" s="16" t="s">
        <v>144</v>
      </c>
      <c r="B43" s="25" t="n">
        <v>12</v>
      </c>
      <c r="C43" s="26" t="n">
        <v>12</v>
      </c>
      <c r="D43" s="27" t="n">
        <f aca="false">B43*C43</f>
        <v>144</v>
      </c>
      <c r="E43" s="28" t="s">
        <v>145</v>
      </c>
    </row>
    <row r="44" customFormat="false" ht="15" hidden="false" customHeight="true" outlineLevel="0" collapsed="false">
      <c r="A44" s="16" t="s">
        <v>146</v>
      </c>
      <c r="B44" s="25" t="n">
        <v>24</v>
      </c>
      <c r="C44" s="26" t="n">
        <v>12</v>
      </c>
      <c r="D44" s="27" t="n">
        <f aca="false">B44*C44</f>
        <v>288</v>
      </c>
      <c r="E44" s="28" t="s">
        <v>147</v>
      </c>
    </row>
    <row r="45" customFormat="false" ht="15" hidden="false" customHeight="true" outlineLevel="0" collapsed="false">
      <c r="A45" s="16" t="s">
        <v>148</v>
      </c>
      <c r="B45" s="25" t="n">
        <v>21</v>
      </c>
      <c r="C45" s="26" t="n">
        <v>12</v>
      </c>
      <c r="D45" s="27" t="n">
        <f aca="false">B45*C45</f>
        <v>252</v>
      </c>
      <c r="E45" s="28" t="s">
        <v>149</v>
      </c>
    </row>
    <row r="46" customFormat="false" ht="15" hidden="false" customHeight="true" outlineLevel="0" collapsed="false">
      <c r="A46" s="16" t="s">
        <v>150</v>
      </c>
      <c r="B46" s="25" t="n">
        <v>30</v>
      </c>
      <c r="C46" s="26" t="n">
        <v>12</v>
      </c>
      <c r="D46" s="27" t="n">
        <f aca="false">B46*C46</f>
        <v>360</v>
      </c>
      <c r="E46" s="28" t="s">
        <v>151</v>
      </c>
    </row>
    <row r="47" customFormat="false" ht="15" hidden="false" customHeight="true" outlineLevel="0" collapsed="false">
      <c r="A47" s="16" t="s">
        <v>152</v>
      </c>
      <c r="B47" s="25" t="n">
        <v>36</v>
      </c>
      <c r="C47" s="26" t="n">
        <v>12</v>
      </c>
      <c r="D47" s="27" t="n">
        <f aca="false">B47*C47</f>
        <v>432</v>
      </c>
      <c r="E47" s="28" t="s">
        <v>153</v>
      </c>
    </row>
    <row r="48" customFormat="false" ht="15" hidden="false" customHeight="true" outlineLevel="0" collapsed="false">
      <c r="A48" s="16" t="s">
        <v>154</v>
      </c>
      <c r="B48" s="25" t="n">
        <v>30</v>
      </c>
      <c r="C48" s="26" t="n">
        <v>12</v>
      </c>
      <c r="D48" s="27" t="n">
        <f aca="false">B48*C48</f>
        <v>360</v>
      </c>
      <c r="E48" s="28" t="s">
        <v>155</v>
      </c>
    </row>
    <row r="49" customFormat="false" ht="15" hidden="false" customHeight="true" outlineLevel="0" collapsed="false">
      <c r="A49" s="16" t="s">
        <v>156</v>
      </c>
      <c r="B49" s="25" t="n">
        <v>24</v>
      </c>
      <c r="C49" s="26" t="n">
        <v>12</v>
      </c>
      <c r="D49" s="27" t="n">
        <f aca="false">B49*C49</f>
        <v>288</v>
      </c>
      <c r="E49" s="28" t="s">
        <v>157</v>
      </c>
    </row>
    <row r="50" customFormat="false" ht="15" hidden="false" customHeight="true" outlineLevel="0" collapsed="false">
      <c r="A50" s="16" t="s">
        <v>158</v>
      </c>
      <c r="B50" s="25" t="n">
        <v>15</v>
      </c>
      <c r="C50" s="26" t="n">
        <v>12</v>
      </c>
      <c r="D50" s="27" t="n">
        <f aca="false">B50*C50</f>
        <v>180</v>
      </c>
      <c r="E50" s="28" t="s">
        <v>159</v>
      </c>
    </row>
    <row r="51" customFormat="false" ht="15" hidden="false" customHeight="true" outlineLevel="0" collapsed="false">
      <c r="A51" s="8" t="s">
        <v>160</v>
      </c>
      <c r="D51" s="22" t="n">
        <f aca="false">SUM(D43:D50)</f>
        <v>2304</v>
      </c>
    </row>
    <row r="53" customFormat="false" ht="15" hidden="false" customHeight="true" outlineLevel="0" collapsed="false">
      <c r="A53" s="23" t="s">
        <v>161</v>
      </c>
      <c r="B53" s="24"/>
      <c r="C53" s="24"/>
      <c r="D53" s="24"/>
      <c r="E53" s="24"/>
    </row>
    <row r="54" customFormat="false" ht="15" hidden="false" customHeight="true" outlineLevel="0" collapsed="false">
      <c r="A54" s="16" t="s">
        <v>162</v>
      </c>
      <c r="B54" s="25" t="n">
        <v>25</v>
      </c>
      <c r="C54" s="26" t="n">
        <v>12</v>
      </c>
      <c r="D54" s="27" t="n">
        <f aca="false">B54*C54</f>
        <v>300</v>
      </c>
      <c r="E54" s="28" t="s">
        <v>163</v>
      </c>
    </row>
    <row r="55" customFormat="false" ht="15" hidden="false" customHeight="true" outlineLevel="0" collapsed="false">
      <c r="A55" s="16" t="s">
        <v>164</v>
      </c>
      <c r="B55" s="25" t="n">
        <v>50</v>
      </c>
      <c r="C55" s="26" t="n">
        <v>12</v>
      </c>
      <c r="D55" s="27" t="n">
        <f aca="false">B55*C55</f>
        <v>600</v>
      </c>
      <c r="E55" s="28" t="s">
        <v>165</v>
      </c>
    </row>
    <row r="56" customFormat="false" ht="15" hidden="false" customHeight="true" outlineLevel="0" collapsed="false">
      <c r="A56" s="8" t="s">
        <v>166</v>
      </c>
      <c r="D56" s="22" t="n">
        <f aca="false">SUM(D54:D55)</f>
        <v>900</v>
      </c>
    </row>
    <row r="58" customFormat="false" ht="15" hidden="false" customHeight="true" outlineLevel="0" collapsed="false">
      <c r="A58" s="8" t="s">
        <v>167</v>
      </c>
      <c r="D58" s="29" t="n">
        <v>8870</v>
      </c>
      <c r="E58" s="28" t="s">
        <v>168</v>
      </c>
    </row>
    <row r="60" customFormat="false" ht="15" hidden="false" customHeight="true" outlineLevel="0" collapsed="false">
      <c r="A60" s="30" t="s">
        <v>169</v>
      </c>
      <c r="D60" s="31" t="n">
        <v>100000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12"/>
  </cols>
  <sheetData>
    <row r="1" customFormat="false" ht="19.5" hidden="false" customHeight="true" outlineLevel="0" collapsed="false">
      <c r="A1" s="13" t="s">
        <v>170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customFormat="false" ht="15" hidden="false" customHeight="true" outlineLevel="0" collapsed="false">
      <c r="A3" s="6" t="s">
        <v>171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5" hidden="false" customHeight="true" outlineLevel="0" collapsed="false">
      <c r="A4" s="7"/>
      <c r="B4" s="15" t="s">
        <v>172</v>
      </c>
      <c r="C4" s="15" t="s">
        <v>173</v>
      </c>
      <c r="D4" s="15" t="s">
        <v>174</v>
      </c>
      <c r="E4" s="15" t="s">
        <v>175</v>
      </c>
      <c r="F4" s="15" t="s">
        <v>176</v>
      </c>
      <c r="G4" s="15" t="s">
        <v>177</v>
      </c>
      <c r="H4" s="15" t="s">
        <v>178</v>
      </c>
      <c r="I4" s="15" t="s">
        <v>179</v>
      </c>
      <c r="J4" s="15" t="s">
        <v>180</v>
      </c>
      <c r="K4" s="15" t="s">
        <v>181</v>
      </c>
      <c r="L4" s="15" t="s">
        <v>182</v>
      </c>
      <c r="M4" s="15" t="s">
        <v>183</v>
      </c>
      <c r="N4" s="15" t="s">
        <v>184</v>
      </c>
    </row>
    <row r="6" customFormat="false" ht="15" hidden="false" customHeight="true" outlineLevel="0" collapsed="false">
      <c r="A6" s="23" t="s">
        <v>185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customFormat="false" ht="15" hidden="false" customHeight="true" outlineLevel="0" collapsed="false">
      <c r="A7" s="16" t="s">
        <v>186</v>
      </c>
      <c r="B7" s="32" t="n">
        <v>150</v>
      </c>
      <c r="C7" s="32" t="n">
        <v>250</v>
      </c>
      <c r="D7" s="32" t="n">
        <v>350</v>
      </c>
      <c r="E7" s="32" t="n">
        <v>450</v>
      </c>
      <c r="F7" s="32" t="n">
        <v>900</v>
      </c>
      <c r="G7" s="32" t="n">
        <v>1150</v>
      </c>
      <c r="H7" s="32" t="n">
        <v>1400</v>
      </c>
      <c r="I7" s="32" t="n">
        <v>1550</v>
      </c>
      <c r="J7" s="32" t="n">
        <v>2600</v>
      </c>
      <c r="K7" s="32" t="n">
        <v>3100</v>
      </c>
      <c r="L7" s="32" t="n">
        <v>3500</v>
      </c>
      <c r="M7" s="32" t="n">
        <v>3800</v>
      </c>
    </row>
    <row r="8" customFormat="false" ht="15" hidden="false" customHeight="true" outlineLevel="0" collapsed="false">
      <c r="A8" s="16" t="s">
        <v>187</v>
      </c>
      <c r="B8" s="33" t="n">
        <v>0.026</v>
      </c>
      <c r="C8" s="33" t="n">
        <v>0.026</v>
      </c>
      <c r="D8" s="33" t="n">
        <v>0.026</v>
      </c>
      <c r="E8" s="33" t="n">
        <v>0.026</v>
      </c>
      <c r="F8" s="33" t="n">
        <v>0.021</v>
      </c>
      <c r="G8" s="33" t="n">
        <v>0.021</v>
      </c>
      <c r="H8" s="33" t="n">
        <v>0.021</v>
      </c>
      <c r="I8" s="33" t="n">
        <v>0.021</v>
      </c>
      <c r="J8" s="33" t="n">
        <v>0.015</v>
      </c>
      <c r="K8" s="33" t="n">
        <v>0.015</v>
      </c>
      <c r="L8" s="33" t="n">
        <v>0.015</v>
      </c>
      <c r="M8" s="33" t="n">
        <v>0.015</v>
      </c>
    </row>
    <row r="9" customFormat="false" ht="15" hidden="false" customHeight="true" outlineLevel="0" collapsed="false">
      <c r="A9" s="16" t="s">
        <v>188</v>
      </c>
      <c r="B9" s="34" t="n">
        <f aca="false">ROUND('01 · Assumptions'!B27*B8,0)</f>
        <v>0</v>
      </c>
      <c r="C9" s="34" t="n">
        <f aca="false">ROUND(B11*C8,0)</f>
        <v>0</v>
      </c>
      <c r="D9" s="34" t="n">
        <f aca="false">ROUND(C11*D8,0)</f>
        <v>0</v>
      </c>
      <c r="E9" s="34" t="n">
        <f aca="false">ROUND(D11*E8,0)</f>
        <v>0</v>
      </c>
      <c r="F9" s="34" t="n">
        <f aca="false">ROUND(E11*F8,0)</f>
        <v>0</v>
      </c>
      <c r="G9" s="34" t="n">
        <f aca="false">ROUND(F11*G8,0)</f>
        <v>0</v>
      </c>
      <c r="H9" s="34" t="n">
        <f aca="false">ROUND(G11*H8,0)</f>
        <v>0</v>
      </c>
      <c r="I9" s="34" t="n">
        <f aca="false">ROUND(H11*I8,0)</f>
        <v>0</v>
      </c>
      <c r="J9" s="34" t="n">
        <f aca="false">ROUND(I11*J8,0)</f>
        <v>0</v>
      </c>
      <c r="K9" s="34" t="n">
        <f aca="false">ROUND(J11*K8,0)</f>
        <v>0</v>
      </c>
      <c r="L9" s="34" t="n">
        <f aca="false">ROUND(K11*L8,0)</f>
        <v>0</v>
      </c>
      <c r="M9" s="34" t="n">
        <f aca="false">ROUND(L11*M8,0)</f>
        <v>0</v>
      </c>
    </row>
    <row r="10" customFormat="false" ht="15" hidden="false" customHeight="true" outlineLevel="0" collapsed="false">
      <c r="A10" s="8" t="s">
        <v>189</v>
      </c>
      <c r="B10" s="35" t="n">
        <f aca="false">'01 · Assumptions'!B27+B7-B9</f>
        <v>150</v>
      </c>
      <c r="C10" s="35" t="n">
        <f aca="false">B10+C7-C9</f>
        <v>400</v>
      </c>
      <c r="D10" s="35" t="n">
        <f aca="false">C10+D7-D9</f>
        <v>750</v>
      </c>
      <c r="E10" s="35" t="n">
        <f aca="false">D10+E7-E9</f>
        <v>1200</v>
      </c>
      <c r="F10" s="35" t="n">
        <f aca="false">E10+F7-F9</f>
        <v>2100</v>
      </c>
      <c r="G10" s="35" t="n">
        <f aca="false">F10+G7-G9</f>
        <v>3250</v>
      </c>
      <c r="H10" s="35" t="n">
        <f aca="false">G10+H7-H9</f>
        <v>4650</v>
      </c>
      <c r="I10" s="35" t="n">
        <f aca="false">H10+I7-I9</f>
        <v>6200</v>
      </c>
      <c r="J10" s="35" t="n">
        <f aca="false">I10+J7-J9</f>
        <v>8800</v>
      </c>
      <c r="K10" s="35" t="n">
        <f aca="false">J10+K7-K9</f>
        <v>11900</v>
      </c>
      <c r="L10" s="35" t="n">
        <f aca="false">K10+L7-L9</f>
        <v>15400</v>
      </c>
      <c r="M10" s="35" t="n">
        <f aca="false">L10+M7-M9</f>
        <v>19200</v>
      </c>
      <c r="N10" s="35" t="n">
        <f aca="false">M10</f>
        <v>19200</v>
      </c>
    </row>
    <row r="12" customFormat="false" ht="15" hidden="false" customHeight="true" outlineLevel="0" collapsed="false">
      <c r="A12" s="23" t="s">
        <v>190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customFormat="false" ht="15" hidden="false" customHeight="true" outlineLevel="0" collapsed="false">
      <c r="A13" s="16" t="s">
        <v>54</v>
      </c>
      <c r="B13" s="32" t="n">
        <v>5</v>
      </c>
      <c r="C13" s="32" t="n">
        <v>5</v>
      </c>
      <c r="D13" s="32" t="n">
        <v>5</v>
      </c>
      <c r="E13" s="32" t="n">
        <v>5</v>
      </c>
      <c r="F13" s="32" t="n">
        <v>7</v>
      </c>
      <c r="G13" s="32" t="n">
        <v>7</v>
      </c>
      <c r="H13" s="32" t="n">
        <v>7</v>
      </c>
      <c r="I13" s="32" t="n">
        <v>7</v>
      </c>
      <c r="J13" s="32" t="n">
        <v>10</v>
      </c>
      <c r="K13" s="32" t="n">
        <v>10</v>
      </c>
      <c r="L13" s="32" t="n">
        <v>10</v>
      </c>
      <c r="M13" s="32" t="n">
        <v>10</v>
      </c>
    </row>
    <row r="14" customFormat="false" ht="15" hidden="false" customHeight="true" outlineLevel="0" collapsed="false">
      <c r="A14" s="16" t="s">
        <v>191</v>
      </c>
      <c r="B14" s="34" t="n">
        <f aca="false">B10*B13</f>
        <v>750</v>
      </c>
      <c r="C14" s="34" t="n">
        <f aca="false">C10*C13</f>
        <v>2000</v>
      </c>
      <c r="D14" s="34" t="n">
        <f aca="false">D10*D13</f>
        <v>3750</v>
      </c>
      <c r="E14" s="34" t="n">
        <f aca="false">E10*E13</f>
        <v>6000</v>
      </c>
      <c r="F14" s="34" t="n">
        <f aca="false">F10*F13</f>
        <v>14700</v>
      </c>
      <c r="G14" s="34" t="n">
        <f aca="false">G10*G13</f>
        <v>22750</v>
      </c>
      <c r="H14" s="34" t="n">
        <f aca="false">H10*H13</f>
        <v>32550</v>
      </c>
      <c r="I14" s="34" t="n">
        <f aca="false">I10*I13</f>
        <v>43400</v>
      </c>
      <c r="J14" s="34" t="n">
        <f aca="false">J10*J13</f>
        <v>88000</v>
      </c>
      <c r="K14" s="34" t="n">
        <f aca="false">K10*K13</f>
        <v>119000</v>
      </c>
      <c r="L14" s="34" t="n">
        <f aca="false">L10*L13</f>
        <v>154000</v>
      </c>
      <c r="M14" s="34" t="n">
        <f aca="false">M10*M13</f>
        <v>192000</v>
      </c>
    </row>
    <row r="15" customFormat="false" ht="15" hidden="false" customHeight="true" outlineLevel="0" collapsed="false">
      <c r="A15" s="16" t="s">
        <v>51</v>
      </c>
      <c r="B15" s="36" t="n">
        <f aca="false">'01 · Assumptions'!B20</f>
        <v>59.1</v>
      </c>
      <c r="C15" s="36" t="n">
        <f aca="false">'01 · Assumptions'!B20</f>
        <v>59.1</v>
      </c>
      <c r="D15" s="36" t="n">
        <f aca="false">'01 · Assumptions'!B20</f>
        <v>59.1</v>
      </c>
      <c r="E15" s="36" t="n">
        <f aca="false">'01 · Assumptions'!B20</f>
        <v>59.1</v>
      </c>
      <c r="F15" s="36" t="n">
        <f aca="false">'01 · Assumptions'!C20</f>
        <v>69.75</v>
      </c>
      <c r="G15" s="36" t="n">
        <f aca="false">'01 · Assumptions'!C20</f>
        <v>69.75</v>
      </c>
      <c r="H15" s="36" t="n">
        <f aca="false">'01 · Assumptions'!C20</f>
        <v>69.75</v>
      </c>
      <c r="I15" s="36" t="n">
        <f aca="false">'01 · Assumptions'!C20</f>
        <v>69.75</v>
      </c>
      <c r="J15" s="36" t="n">
        <f aca="false">'01 · Assumptions'!D20</f>
        <v>77.4</v>
      </c>
      <c r="K15" s="36" t="n">
        <f aca="false">'01 · Assumptions'!D20</f>
        <v>77.4</v>
      </c>
      <c r="L15" s="36" t="n">
        <f aca="false">'01 · Assumptions'!D20</f>
        <v>77.4</v>
      </c>
      <c r="M15" s="36" t="n">
        <f aca="false">'01 · Assumptions'!D20</f>
        <v>77.4</v>
      </c>
    </row>
    <row r="16" customFormat="false" ht="15" hidden="false" customHeight="true" outlineLevel="0" collapsed="false">
      <c r="A16" s="8" t="s">
        <v>192</v>
      </c>
      <c r="B16" s="37" t="n">
        <f aca="false">B14*B15*12</f>
        <v>531900</v>
      </c>
      <c r="C16" s="37" t="n">
        <f aca="false">C14*C15*12</f>
        <v>1418400</v>
      </c>
      <c r="D16" s="37" t="n">
        <f aca="false">D14*D15*12</f>
        <v>2659500</v>
      </c>
      <c r="E16" s="37" t="n">
        <f aca="false">E14*E15*12</f>
        <v>4255200</v>
      </c>
      <c r="F16" s="37" t="n">
        <f aca="false">F14*F15*12</f>
        <v>12303900</v>
      </c>
      <c r="G16" s="37" t="n">
        <f aca="false">G14*G15*12</f>
        <v>19041750</v>
      </c>
      <c r="H16" s="37" t="n">
        <f aca="false">H14*H15*12</f>
        <v>27244350</v>
      </c>
      <c r="I16" s="37" t="n">
        <f aca="false">I14*I15*12</f>
        <v>36325800</v>
      </c>
      <c r="J16" s="37" t="n">
        <f aca="false">J14*J15*12</f>
        <v>81734400</v>
      </c>
      <c r="K16" s="37" t="n">
        <f aca="false">K14*K15*12</f>
        <v>110527200</v>
      </c>
      <c r="L16" s="37" t="n">
        <f aca="false">L14*L15*12</f>
        <v>143035200</v>
      </c>
      <c r="M16" s="37" t="n">
        <f aca="false">M14*M15*12</f>
        <v>178329600</v>
      </c>
    </row>
    <row r="17" customFormat="false" ht="15" hidden="false" customHeight="true" outlineLevel="0" collapsed="false">
      <c r="A17" s="8" t="s">
        <v>193</v>
      </c>
      <c r="B17" s="27" t="n">
        <f aca="false">B16/4/2</f>
        <v>66487.5</v>
      </c>
      <c r="C17" s="27" t="n">
        <f aca="false">(B16+C16)/2/4</f>
        <v>243787.5</v>
      </c>
      <c r="D17" s="27" t="n">
        <f aca="false">(C16+D16)/2/4</f>
        <v>509737.5</v>
      </c>
      <c r="E17" s="27" t="n">
        <f aca="false">(D16+E16)/2/4</f>
        <v>864337.5</v>
      </c>
      <c r="F17" s="27" t="n">
        <f aca="false">(E16+F16)/2/4</f>
        <v>2069887.5</v>
      </c>
      <c r="G17" s="27" t="n">
        <f aca="false">(F16+G16)/2/4</f>
        <v>3918206.25</v>
      </c>
      <c r="H17" s="27" t="n">
        <f aca="false">(G16+H16)/2/4</f>
        <v>5785762.5</v>
      </c>
      <c r="I17" s="27" t="n">
        <f aca="false">(H16+I16)/2/4</f>
        <v>7946268.75</v>
      </c>
      <c r="J17" s="27" t="n">
        <f aca="false">(I16+J16)/2/4</f>
        <v>14757525</v>
      </c>
      <c r="K17" s="27" t="n">
        <f aca="false">(J16+K16)/2/4</f>
        <v>24032700</v>
      </c>
      <c r="L17" s="27" t="n">
        <f aca="false">(K16+L16)/2/4</f>
        <v>31695300</v>
      </c>
      <c r="M17" s="27" t="n">
        <f aca="false">(L16+M16)/2/4</f>
        <v>40170600</v>
      </c>
    </row>
    <row r="19" customFormat="false" ht="15" hidden="false" customHeight="true" outlineLevel="0" collapsed="false">
      <c r="A19" s="23" t="s">
        <v>194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customFormat="false" ht="15" hidden="false" customHeight="true" outlineLevel="0" collapsed="false">
      <c r="B20" s="23" t="s">
        <v>195</v>
      </c>
      <c r="C20" s="23" t="s">
        <v>196</v>
      </c>
      <c r="D20" s="23" t="s">
        <v>197</v>
      </c>
    </row>
    <row r="21" customFormat="false" ht="15" hidden="false" customHeight="true" outlineLevel="0" collapsed="false">
      <c r="A21" s="8" t="s">
        <v>198</v>
      </c>
      <c r="B21" s="27" t="n">
        <f aca="false">SUM(B17:E17)</f>
        <v>1684350</v>
      </c>
      <c r="C21" s="27" t="n">
        <f aca="false">SUM(F17:I17)</f>
        <v>19720125</v>
      </c>
      <c r="D21" s="27" t="n">
        <f aca="false">SUM(J17:M17)</f>
        <v>110656125</v>
      </c>
    </row>
    <row r="22" customFormat="false" ht="15" hidden="false" customHeight="true" outlineLevel="0" collapsed="false">
      <c r="A22" s="8" t="s">
        <v>199</v>
      </c>
      <c r="B22" s="37" t="n">
        <f aca="false">E16</f>
        <v>4255200</v>
      </c>
      <c r="C22" s="37" t="n">
        <f aca="false">I16</f>
        <v>36325800</v>
      </c>
      <c r="D22" s="37" t="n">
        <f aca="false">M16</f>
        <v>178329600</v>
      </c>
    </row>
    <row r="23" customFormat="false" ht="15" hidden="false" customHeight="true" outlineLevel="0" collapsed="false">
      <c r="A23" s="8" t="s">
        <v>200</v>
      </c>
      <c r="B23" s="38" t="n">
        <f aca="false">E10</f>
        <v>1200</v>
      </c>
      <c r="C23" s="38" t="n">
        <f aca="false">I10</f>
        <v>6200</v>
      </c>
      <c r="D23" s="38" t="n">
        <f aca="false">M10</f>
        <v>19200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6"/>
  </cols>
  <sheetData>
    <row r="1" customFormat="false" ht="19.5" hidden="false" customHeight="true" outlineLevel="0" collapsed="false">
      <c r="A1" s="13" t="s">
        <v>201</v>
      </c>
      <c r="B1" s="13"/>
      <c r="C1" s="13"/>
      <c r="D1" s="13"/>
      <c r="E1" s="13"/>
    </row>
    <row r="3" customFormat="false" ht="15" hidden="false" customHeight="true" outlineLevel="0" collapsed="false">
      <c r="A3" s="7"/>
      <c r="B3" s="15" t="s">
        <v>195</v>
      </c>
      <c r="C3" s="15" t="s">
        <v>196</v>
      </c>
      <c r="D3" s="15" t="s">
        <v>197</v>
      </c>
    </row>
    <row r="4" customFormat="false" ht="15" hidden="false" customHeight="true" outlineLevel="0" collapsed="false">
      <c r="A4" s="16" t="s">
        <v>202</v>
      </c>
      <c r="B4" s="36" t="n">
        <f aca="false">'01 · Assumptions'!B20*'01 · Assumptions'!B24*12</f>
        <v>3546</v>
      </c>
      <c r="C4" s="36" t="n">
        <f aca="false">'01 · Assumptions'!C20*'01 · Assumptions'!C24*12</f>
        <v>5859</v>
      </c>
      <c r="D4" s="36" t="n">
        <f aca="false">'01 · Assumptions'!D20*'01 · Assumptions'!D24*12</f>
        <v>9288</v>
      </c>
    </row>
    <row r="5" customFormat="false" ht="15" hidden="false" customHeight="true" outlineLevel="0" collapsed="false">
      <c r="A5" s="16" t="s">
        <v>65</v>
      </c>
      <c r="B5" s="39" t="n">
        <f aca="false">'01 · Assumptions'!B36</f>
        <v>0.77</v>
      </c>
      <c r="C5" s="39" t="n">
        <f aca="false">'01 · Assumptions'!C36</f>
        <v>0.79</v>
      </c>
      <c r="D5" s="39" t="n">
        <f aca="false">'01 · Assumptions'!D36</f>
        <v>0.81</v>
      </c>
    </row>
    <row r="6" customFormat="false" ht="15" hidden="false" customHeight="true" outlineLevel="0" collapsed="false">
      <c r="A6" s="16" t="s">
        <v>203</v>
      </c>
      <c r="B6" s="40" t="n">
        <f aca="false">B4*B5</f>
        <v>2730.42</v>
      </c>
      <c r="C6" s="40" t="n">
        <f aca="false">C4*C5</f>
        <v>4628.61</v>
      </c>
      <c r="D6" s="40" t="n">
        <f aca="false">D4*D5</f>
        <v>7523.28</v>
      </c>
    </row>
    <row r="7" customFormat="false" ht="15" hidden="false" customHeight="true" outlineLevel="0" collapsed="false">
      <c r="A7" s="16" t="s">
        <v>204</v>
      </c>
      <c r="B7" s="39" t="n">
        <f aca="false">'01 · Assumptions'!B25</f>
        <v>0.1</v>
      </c>
      <c r="C7" s="39" t="n">
        <f aca="false">'01 · Assumptions'!C25</f>
        <v>0.08</v>
      </c>
      <c r="D7" s="39" t="n">
        <f aca="false">'01 · Assumptions'!D25</f>
        <v>0.06</v>
      </c>
    </row>
    <row r="8" customFormat="false" ht="15" hidden="false" customHeight="true" outlineLevel="0" collapsed="false">
      <c r="A8" s="8" t="s">
        <v>205</v>
      </c>
      <c r="B8" s="22" t="n">
        <f aca="false">B6/B7</f>
        <v>27304.2</v>
      </c>
      <c r="C8" s="22" t="n">
        <f aca="false">C6/C7</f>
        <v>57857.625</v>
      </c>
      <c r="D8" s="22" t="n">
        <f aca="false">D6/D7</f>
        <v>125388</v>
      </c>
    </row>
    <row r="9" customFormat="false" ht="15" hidden="false" customHeight="true" outlineLevel="0" collapsed="false">
      <c r="A9" s="16" t="s">
        <v>206</v>
      </c>
      <c r="B9" s="36" t="n">
        <f aca="false">'01 · Assumptions'!B41/'01 · Assumptions'!B23</f>
        <v>5.16666666666667</v>
      </c>
      <c r="C9" s="36" t="n">
        <f aca="false">'01 · Assumptions'!C41/'01 · Assumptions'!C23</f>
        <v>5</v>
      </c>
      <c r="D9" s="36" t="n">
        <f aca="false">'01 · Assumptions'!D41/'01 · Assumptions'!D23</f>
        <v>6.15384615384615</v>
      </c>
    </row>
    <row r="10" customFormat="false" ht="15" hidden="false" customHeight="true" outlineLevel="0" collapsed="false">
      <c r="A10" s="8" t="s">
        <v>207</v>
      </c>
      <c r="B10" s="41" t="n">
        <f aca="false">B9/(B6/12)</f>
        <v>0.0227071293061141</v>
      </c>
      <c r="C10" s="41" t="n">
        <f aca="false">C9/(C6/12)</f>
        <v>0.0129628549391718</v>
      </c>
      <c r="D10" s="41" t="n">
        <f aca="false">D9/(D6/12)</f>
        <v>0.00981568595694349</v>
      </c>
    </row>
    <row r="11" customFormat="false" ht="15" hidden="false" customHeight="true" outlineLevel="0" collapsed="false">
      <c r="A11" s="8" t="s">
        <v>208</v>
      </c>
      <c r="B11" s="42" t="n">
        <f aca="false">B8/B9</f>
        <v>5284.68387096774</v>
      </c>
      <c r="C11" s="42" t="n">
        <f aca="false">C8/C9</f>
        <v>11571.525</v>
      </c>
      <c r="D11" s="42" t="n">
        <f aca="false">D8/D9</f>
        <v>20375.55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6"/>
  </cols>
  <sheetData>
    <row r="1" customFormat="false" ht="19.5" hidden="false" customHeight="true" outlineLevel="0" collapsed="false">
      <c r="A1" s="13" t="s">
        <v>209</v>
      </c>
      <c r="B1" s="13"/>
      <c r="C1" s="13"/>
      <c r="D1" s="13"/>
      <c r="E1" s="13"/>
    </row>
    <row r="3" customFormat="false" ht="15" hidden="false" customHeight="true" outlineLevel="0" collapsed="false">
      <c r="A3" s="6" t="s">
        <v>210</v>
      </c>
      <c r="B3" s="15" t="s">
        <v>195</v>
      </c>
      <c r="C3" s="15" t="s">
        <v>196</v>
      </c>
      <c r="D3" s="15" t="s">
        <v>197</v>
      </c>
    </row>
    <row r="4" customFormat="false" ht="15" hidden="false" customHeight="true" outlineLevel="0" collapsed="false">
      <c r="A4" s="23" t="s">
        <v>211</v>
      </c>
      <c r="B4" s="24"/>
      <c r="C4" s="24"/>
      <c r="D4" s="24"/>
      <c r="E4" s="24"/>
    </row>
    <row r="5" customFormat="false" ht="15" hidden="false" customHeight="true" outlineLevel="0" collapsed="false">
      <c r="A5" s="8" t="s">
        <v>212</v>
      </c>
      <c r="B5" s="36" t="n">
        <f aca="false">'03 · Revenue Build'!B21</f>
        <v>1684350</v>
      </c>
      <c r="C5" s="36" t="n">
        <f aca="false">'03 · Revenue Build'!C21</f>
        <v>19720125</v>
      </c>
      <c r="D5" s="36" t="n">
        <f aca="false">'03 · Revenue Build'!D21</f>
        <v>110656125</v>
      </c>
    </row>
    <row r="7" customFormat="false" ht="15" hidden="false" customHeight="true" outlineLevel="0" collapsed="false">
      <c r="A7" s="23" t="s">
        <v>213</v>
      </c>
      <c r="B7" s="24"/>
      <c r="C7" s="24"/>
      <c r="D7" s="24"/>
      <c r="E7" s="24"/>
    </row>
    <row r="8" customFormat="false" ht="15" hidden="false" customHeight="true" outlineLevel="0" collapsed="false">
      <c r="A8" s="16" t="s">
        <v>214</v>
      </c>
      <c r="B8" s="40" t="n">
        <f aca="false">'01 · Assumptions'!B30*B5</f>
        <v>117904.5</v>
      </c>
      <c r="C8" s="40" t="n">
        <f aca="false">'01 · Assumptions'!C30*C5</f>
        <v>1183207.5</v>
      </c>
      <c r="D8" s="40" t="n">
        <f aca="false">'01 · Assumptions'!D30*D5</f>
        <v>5532806.25</v>
      </c>
    </row>
    <row r="9" customFormat="false" ht="15" hidden="false" customHeight="true" outlineLevel="0" collapsed="false">
      <c r="A9" s="16" t="s">
        <v>215</v>
      </c>
      <c r="B9" s="40" t="n">
        <f aca="false">'01 · Assumptions'!B31*B5</f>
        <v>134748</v>
      </c>
      <c r="C9" s="40" t="n">
        <f aca="false">'01 · Assumptions'!C31*C5</f>
        <v>1380408.75</v>
      </c>
      <c r="D9" s="40" t="n">
        <f aca="false">'01 · Assumptions'!D31*D5</f>
        <v>6639367.5</v>
      </c>
    </row>
    <row r="10" customFormat="false" ht="15" hidden="false" customHeight="true" outlineLevel="0" collapsed="false">
      <c r="A10" s="16" t="s">
        <v>216</v>
      </c>
      <c r="B10" s="40" t="n">
        <f aca="false">'01 · Assumptions'!B32*B5</f>
        <v>50530.5</v>
      </c>
      <c r="C10" s="40" t="n">
        <f aca="false">'01 · Assumptions'!C32*C5</f>
        <v>591603.75</v>
      </c>
      <c r="D10" s="40" t="n">
        <f aca="false">'01 · Assumptions'!D32*D5</f>
        <v>3319683.75</v>
      </c>
    </row>
    <row r="11" customFormat="false" ht="15" hidden="false" customHeight="true" outlineLevel="0" collapsed="false">
      <c r="A11" s="16" t="s">
        <v>217</v>
      </c>
      <c r="B11" s="40" t="n">
        <f aca="false">'01 · Assumptions'!B33*B5</f>
        <v>33687</v>
      </c>
      <c r="C11" s="40" t="n">
        <f aca="false">'01 · Assumptions'!C33*C5</f>
        <v>394402.5</v>
      </c>
      <c r="D11" s="40" t="n">
        <f aca="false">'01 · Assumptions'!D33*D5</f>
        <v>2213122.5</v>
      </c>
    </row>
    <row r="12" customFormat="false" ht="15" hidden="false" customHeight="true" outlineLevel="0" collapsed="false">
      <c r="A12" s="16" t="s">
        <v>218</v>
      </c>
      <c r="B12" s="40" t="n">
        <f aca="false">'01 · Assumptions'!B34*B5</f>
        <v>50530.5</v>
      </c>
      <c r="C12" s="40" t="n">
        <f aca="false">'01 · Assumptions'!C34*C5</f>
        <v>591603.75</v>
      </c>
      <c r="D12" s="40" t="n">
        <f aca="false">'01 · Assumptions'!D34*D5</f>
        <v>3319683.75</v>
      </c>
    </row>
    <row r="13" customFormat="false" ht="15" hidden="false" customHeight="true" outlineLevel="0" collapsed="false">
      <c r="A13" s="8" t="s">
        <v>219</v>
      </c>
      <c r="B13" s="27" t="n">
        <f aca="false">SUM(B8:B12)</f>
        <v>387400.5</v>
      </c>
      <c r="C13" s="27" t="n">
        <f aca="false">SUM(C8:C12)</f>
        <v>4141226.25</v>
      </c>
      <c r="D13" s="27" t="n">
        <f aca="false">SUM(D8:D12)</f>
        <v>21024663.75</v>
      </c>
    </row>
    <row r="14" customFormat="false" ht="15" hidden="false" customHeight="true" outlineLevel="0" collapsed="false">
      <c r="A14" s="8" t="s">
        <v>220</v>
      </c>
      <c r="B14" s="22" t="n">
        <f aca="false">B5-B13</f>
        <v>1296949.5</v>
      </c>
      <c r="C14" s="22" t="n">
        <f aca="false">C5-C13</f>
        <v>15578898.75</v>
      </c>
      <c r="D14" s="22" t="n">
        <f aca="false">D5-D13</f>
        <v>89631461.25</v>
      </c>
    </row>
    <row r="15" customFormat="false" ht="15" hidden="false" customHeight="true" outlineLevel="0" collapsed="false">
      <c r="A15" s="8" t="s">
        <v>65</v>
      </c>
      <c r="B15" s="43" t="n">
        <f aca="false">B14/B5</f>
        <v>0.77</v>
      </c>
      <c r="C15" s="43" t="n">
        <f aca="false">C14/C5</f>
        <v>0.79</v>
      </c>
      <c r="D15" s="43" t="n">
        <f aca="false">D14/D5</f>
        <v>0.81</v>
      </c>
    </row>
    <row r="17" customFormat="false" ht="15" hidden="false" customHeight="true" outlineLevel="0" collapsed="false">
      <c r="A17" s="23" t="s">
        <v>221</v>
      </c>
      <c r="B17" s="24"/>
      <c r="C17" s="24"/>
      <c r="D17" s="24"/>
      <c r="E17" s="24"/>
    </row>
    <row r="18" customFormat="false" ht="15" hidden="false" customHeight="true" outlineLevel="0" collapsed="false">
      <c r="A18" s="16" t="s">
        <v>222</v>
      </c>
      <c r="B18" s="36" t="n">
        <f aca="false">'01 · Assumptions'!B39</f>
        <v>33600</v>
      </c>
      <c r="C18" s="36" t="n">
        <f aca="false">'01 · Assumptions'!C39</f>
        <v>72000</v>
      </c>
      <c r="D18" s="36" t="n">
        <f aca="false">'01 · Assumptions'!D39</f>
        <v>180000</v>
      </c>
    </row>
    <row r="19" customFormat="false" ht="15" hidden="false" customHeight="true" outlineLevel="0" collapsed="false">
      <c r="A19" s="16" t="s">
        <v>223</v>
      </c>
      <c r="B19" s="36" t="n">
        <f aca="false">'01 · Assumptions'!B40</f>
        <v>13426</v>
      </c>
      <c r="C19" s="36" t="n">
        <f aca="false">'01 · Assumptions'!C40</f>
        <v>35000</v>
      </c>
      <c r="D19" s="36" t="n">
        <f aca="false">'01 · Assumptions'!D40</f>
        <v>85000</v>
      </c>
    </row>
    <row r="20" customFormat="false" ht="15" hidden="false" customHeight="true" outlineLevel="0" collapsed="false">
      <c r="A20" s="16" t="s">
        <v>224</v>
      </c>
      <c r="B20" s="36" t="n">
        <f aca="false">'01 · Assumptions'!B41</f>
        <v>6200</v>
      </c>
      <c r="C20" s="36" t="n">
        <f aca="false">'01 · Assumptions'!C41</f>
        <v>25000</v>
      </c>
      <c r="D20" s="36" t="n">
        <f aca="false">'01 · Assumptions'!D41</f>
        <v>80000</v>
      </c>
    </row>
    <row r="21" customFormat="false" ht="15" hidden="false" customHeight="true" outlineLevel="0" collapsed="false">
      <c r="A21" s="16" t="s">
        <v>225</v>
      </c>
      <c r="B21" s="36" t="n">
        <f aca="false">'01 · Assumptions'!B42</f>
        <v>4100</v>
      </c>
      <c r="C21" s="36" t="n">
        <f aca="false">'01 · Assumptions'!C42</f>
        <v>8000</v>
      </c>
      <c r="D21" s="36" t="n">
        <f aca="false">'01 · Assumptions'!D42</f>
        <v>18000</v>
      </c>
    </row>
    <row r="22" customFormat="false" ht="15" hidden="false" customHeight="true" outlineLevel="0" collapsed="false">
      <c r="A22" s="16" t="s">
        <v>226</v>
      </c>
      <c r="B22" s="36" t="n">
        <f aca="false">'01 · Assumptions'!B43</f>
        <v>2304</v>
      </c>
      <c r="C22" s="36" t="n">
        <f aca="false">'01 · Assumptions'!C43</f>
        <v>5000</v>
      </c>
      <c r="D22" s="36" t="n">
        <f aca="false">'01 · Assumptions'!D43</f>
        <v>12000</v>
      </c>
    </row>
    <row r="23" customFormat="false" ht="15" hidden="false" customHeight="true" outlineLevel="0" collapsed="false">
      <c r="A23" s="16" t="s">
        <v>227</v>
      </c>
      <c r="B23" s="36" t="n">
        <f aca="false">'01 · Assumptions'!B44</f>
        <v>900</v>
      </c>
      <c r="C23" s="36" t="n">
        <f aca="false">'01 · Assumptions'!C44</f>
        <v>3000</v>
      </c>
      <c r="D23" s="36" t="n">
        <f aca="false">'01 · Assumptions'!D44</f>
        <v>8000</v>
      </c>
    </row>
    <row r="24" customFormat="false" ht="15" hidden="false" customHeight="true" outlineLevel="0" collapsed="false">
      <c r="A24" s="16" t="s">
        <v>228</v>
      </c>
      <c r="B24" s="36" t="n">
        <f aca="false">'01 · Assumptions'!B45</f>
        <v>8870</v>
      </c>
      <c r="C24" s="36" t="n">
        <f aca="false">'01 · Assumptions'!C45</f>
        <v>12000</v>
      </c>
      <c r="D24" s="36" t="n">
        <f aca="false">'01 · Assumptions'!D45</f>
        <v>20000</v>
      </c>
    </row>
    <row r="25" customFormat="false" ht="15" hidden="false" customHeight="true" outlineLevel="0" collapsed="false">
      <c r="A25" s="8" t="s">
        <v>229</v>
      </c>
      <c r="B25" s="27" t="n">
        <f aca="false">SUM(B18:B24)</f>
        <v>69400</v>
      </c>
      <c r="C25" s="27" t="n">
        <f aca="false">SUM(C18:C24)</f>
        <v>160000</v>
      </c>
      <c r="D25" s="27" t="n">
        <f aca="false">SUM(D18:D24)</f>
        <v>403000</v>
      </c>
    </row>
    <row r="26" customFormat="false" ht="15" hidden="false" customHeight="true" outlineLevel="0" collapsed="false">
      <c r="A26" s="8" t="s">
        <v>230</v>
      </c>
      <c r="B26" s="44" t="n">
        <f aca="false">B14-B25</f>
        <v>1227549.5</v>
      </c>
      <c r="C26" s="44" t="n">
        <f aca="false">C14-C25</f>
        <v>15418898.75</v>
      </c>
      <c r="D26" s="44" t="n">
        <f aca="false">D14-D25</f>
        <v>89228461.25</v>
      </c>
    </row>
    <row r="27" customFormat="false" ht="15" hidden="false" customHeight="true" outlineLevel="0" collapsed="false">
      <c r="A27" s="8" t="s">
        <v>231</v>
      </c>
      <c r="B27" s="45" t="n">
        <f aca="false">B26/B5</f>
        <v>0.728797162110013</v>
      </c>
      <c r="C27" s="45" t="n">
        <f aca="false">C26/C5</f>
        <v>0.781886461165941</v>
      </c>
      <c r="D27" s="45" t="n">
        <f aca="false">D26/D5</f>
        <v>0.80635808682077</v>
      </c>
    </row>
    <row r="29" customFormat="false" ht="15" hidden="false" customHeight="true" outlineLevel="0" collapsed="false">
      <c r="A29" s="16" t="s">
        <v>232</v>
      </c>
      <c r="B29" s="40" t="n">
        <f aca="false">IF(B26&gt;0,B26*'01 · Assumptions'!B49,0)</f>
        <v>245509.9</v>
      </c>
      <c r="C29" s="40" t="n">
        <f aca="false">IF(C26&gt;0,C26*'01 · Assumptions'!C49,0)</f>
        <v>3083779.75</v>
      </c>
      <c r="D29" s="40" t="n">
        <f aca="false">IF(D26&gt;0,D26*'01 · Assumptions'!D49,0)</f>
        <v>17845692.25</v>
      </c>
    </row>
    <row r="30" customFormat="false" ht="15" hidden="false" customHeight="true" outlineLevel="0" collapsed="false">
      <c r="A30" s="8" t="s">
        <v>233</v>
      </c>
      <c r="B30" s="22" t="n">
        <f aca="false">B26-B29</f>
        <v>982039.6</v>
      </c>
      <c r="C30" s="22" t="n">
        <f aca="false">C26-C29</f>
        <v>12335119</v>
      </c>
      <c r="D30" s="22" t="n">
        <f aca="false">D26-D29</f>
        <v>71382769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6"/>
  </cols>
  <sheetData>
    <row r="1" customFormat="false" ht="19.5" hidden="false" customHeight="true" outlineLevel="0" collapsed="false">
      <c r="A1" s="13" t="s">
        <v>234</v>
      </c>
      <c r="B1" s="13"/>
      <c r="C1" s="13"/>
      <c r="D1" s="13"/>
      <c r="E1" s="13"/>
    </row>
    <row r="3" customFormat="false" ht="15" hidden="false" customHeight="true" outlineLevel="0" collapsed="false">
      <c r="A3" s="7"/>
      <c r="B3" s="15" t="s">
        <v>195</v>
      </c>
      <c r="C3" s="15" t="s">
        <v>196</v>
      </c>
      <c r="D3" s="15" t="s">
        <v>197</v>
      </c>
    </row>
    <row r="4" customFormat="false" ht="15" hidden="false" customHeight="true" outlineLevel="0" collapsed="false">
      <c r="A4" s="16" t="s">
        <v>235</v>
      </c>
      <c r="B4" s="36" t="n">
        <f aca="false">'05 · P&amp;L'!B30</f>
        <v>982039.6</v>
      </c>
      <c r="C4" s="36" t="n">
        <f aca="false">'05 · P&amp;L'!C30</f>
        <v>12335119</v>
      </c>
      <c r="D4" s="36" t="n">
        <f aca="false">'05 · P&amp;L'!D30</f>
        <v>71382769</v>
      </c>
    </row>
    <row r="5" customFormat="false" ht="15" hidden="false" customHeight="true" outlineLevel="0" collapsed="false">
      <c r="A5" s="8" t="s">
        <v>236</v>
      </c>
      <c r="B5" s="22" t="n">
        <f aca="false">B4</f>
        <v>982039.6</v>
      </c>
      <c r="C5" s="22" t="n">
        <f aca="false">C4</f>
        <v>12335119</v>
      </c>
      <c r="D5" s="22" t="n">
        <f aca="false">D4</f>
        <v>71382769</v>
      </c>
    </row>
    <row r="7" customFormat="false" ht="15" hidden="false" customHeight="true" outlineLevel="0" collapsed="false">
      <c r="A7" s="8" t="s">
        <v>237</v>
      </c>
      <c r="B7" s="46" t="n">
        <v>100000</v>
      </c>
      <c r="C7" s="25" t="n">
        <v>0</v>
      </c>
      <c r="D7" s="25" t="n">
        <v>0</v>
      </c>
    </row>
    <row r="8" customFormat="false" ht="15" hidden="false" customHeight="true" outlineLevel="0" collapsed="false">
      <c r="A8" s="16" t="s">
        <v>238</v>
      </c>
      <c r="B8" s="25" t="n">
        <v>0</v>
      </c>
      <c r="C8" s="40" t="n">
        <f aca="false">B9</f>
        <v>1082039.6</v>
      </c>
      <c r="D8" s="40" t="n">
        <f aca="false">C9</f>
        <v>13417158.6</v>
      </c>
    </row>
    <row r="9" customFormat="false" ht="15" hidden="false" customHeight="true" outlineLevel="0" collapsed="false">
      <c r="A9" s="8" t="s">
        <v>239</v>
      </c>
      <c r="B9" s="37" t="n">
        <f aca="false">B8+B7+B5</f>
        <v>1082039.6</v>
      </c>
      <c r="C9" s="37" t="n">
        <f aca="false">B9+C7+C5</f>
        <v>13417158.6</v>
      </c>
      <c r="D9" s="37" t="n">
        <f aca="false">C9+D7+D5</f>
        <v>84799927.6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6"/>
  </cols>
  <sheetData>
    <row r="1" customFormat="false" ht="19.5" hidden="false" customHeight="true" outlineLevel="0" collapsed="false">
      <c r="A1" s="13" t="s">
        <v>240</v>
      </c>
      <c r="B1" s="13"/>
      <c r="C1" s="13"/>
      <c r="D1" s="13"/>
      <c r="E1" s="13"/>
    </row>
    <row r="3" customFormat="false" ht="15" hidden="false" customHeight="true" outlineLevel="0" collapsed="false">
      <c r="A3" s="6" t="s">
        <v>241</v>
      </c>
      <c r="B3" s="7"/>
      <c r="C3" s="7"/>
      <c r="D3" s="7"/>
      <c r="E3" s="7"/>
    </row>
    <row r="4" customFormat="false" ht="15" hidden="false" customHeight="true" outlineLevel="0" collapsed="false">
      <c r="A4" s="16" t="s">
        <v>242</v>
      </c>
      <c r="B4" s="46" t="n">
        <v>100000</v>
      </c>
    </row>
    <row r="5" customFormat="false" ht="15" hidden="false" customHeight="true" outlineLevel="0" collapsed="false">
      <c r="A5" s="16" t="s">
        <v>243</v>
      </c>
      <c r="B5" s="46" t="n">
        <v>1500000</v>
      </c>
    </row>
    <row r="6" customFormat="false" ht="15" hidden="false" customHeight="true" outlineLevel="0" collapsed="false">
      <c r="A6" s="8" t="s">
        <v>244</v>
      </c>
      <c r="B6" s="22" t="n">
        <f aca="false">B5+B4</f>
        <v>1600000</v>
      </c>
    </row>
    <row r="7" customFormat="false" ht="15" hidden="false" customHeight="true" outlineLevel="0" collapsed="false">
      <c r="A7" s="8" t="s">
        <v>245</v>
      </c>
      <c r="B7" s="21" t="n">
        <f aca="false">B4/B6</f>
        <v>0.0625</v>
      </c>
    </row>
    <row r="9" customFormat="false" ht="15" hidden="false" customHeight="true" outlineLevel="0" collapsed="false">
      <c r="A9" s="6" t="s">
        <v>246</v>
      </c>
      <c r="B9" s="7"/>
      <c r="C9" s="7"/>
      <c r="D9" s="7"/>
      <c r="E9" s="7"/>
    </row>
    <row r="10" customFormat="false" ht="15" hidden="false" customHeight="true" outlineLevel="0" collapsed="false">
      <c r="A10" s="24"/>
      <c r="B10" s="47" t="s">
        <v>247</v>
      </c>
      <c r="C10" s="47" t="s">
        <v>248</v>
      </c>
      <c r="D10" s="47" t="s">
        <v>249</v>
      </c>
    </row>
    <row r="11" customFormat="false" ht="15" hidden="false" customHeight="true" outlineLevel="0" collapsed="false">
      <c r="A11" s="16" t="s">
        <v>250</v>
      </c>
      <c r="B11" s="36" t="n">
        <f aca="false">'03 · Revenue Build'!D22</f>
        <v>178329600</v>
      </c>
      <c r="C11" s="36" t="n">
        <f aca="false">'03 · Revenue Build'!D22</f>
        <v>178329600</v>
      </c>
      <c r="D11" s="36" t="n">
        <f aca="false">'03 · Revenue Build'!D22</f>
        <v>178329600</v>
      </c>
    </row>
    <row r="12" customFormat="false" ht="15" hidden="false" customHeight="true" outlineLevel="0" collapsed="false">
      <c r="A12" s="16" t="s">
        <v>251</v>
      </c>
      <c r="B12" s="48" t="n">
        <v>8</v>
      </c>
      <c r="C12" s="48" t="n">
        <v>12</v>
      </c>
      <c r="D12" s="48" t="n">
        <v>18</v>
      </c>
    </row>
    <row r="13" customFormat="false" ht="15" hidden="false" customHeight="true" outlineLevel="0" collapsed="false">
      <c r="A13" s="8" t="s">
        <v>252</v>
      </c>
      <c r="B13" s="37" t="n">
        <f aca="false">B11*B12</f>
        <v>1426636800</v>
      </c>
      <c r="C13" s="37" t="n">
        <f aca="false">C11*C12</f>
        <v>2139955200</v>
      </c>
      <c r="D13" s="37" t="n">
        <f aca="false">D11*D12</f>
        <v>3209932800</v>
      </c>
    </row>
    <row r="14" customFormat="false" ht="15" hidden="false" customHeight="true" outlineLevel="0" collapsed="false">
      <c r="A14" s="8" t="s">
        <v>253</v>
      </c>
      <c r="B14" s="22" t="n">
        <f aca="false">B13*B7</f>
        <v>89164800</v>
      </c>
      <c r="C14" s="22" t="n">
        <f aca="false">C13*B7</f>
        <v>133747200</v>
      </c>
      <c r="D14" s="22" t="n">
        <f aca="false">D13*B7</f>
        <v>200620800</v>
      </c>
    </row>
    <row r="15" customFormat="false" ht="15" hidden="false" customHeight="true" outlineLevel="0" collapsed="false">
      <c r="A15" s="8" t="s">
        <v>254</v>
      </c>
      <c r="B15" s="49" t="n">
        <f aca="false">B14/B4</f>
        <v>891.648</v>
      </c>
      <c r="C15" s="49" t="n">
        <f aca="false">C14/B4</f>
        <v>1337.472</v>
      </c>
      <c r="D15" s="49" t="n">
        <f aca="false">D14/B4</f>
        <v>2006.208</v>
      </c>
    </row>
    <row r="16" customFormat="false" ht="15" hidden="false" customHeight="true" outlineLevel="0" collapsed="false">
      <c r="A16" s="8" t="s">
        <v>255</v>
      </c>
      <c r="B16" s="50" t="n">
        <f aca="false">(B14/B4)^(1/3)-1</f>
        <v>8.62493517694016</v>
      </c>
      <c r="C16" s="50" t="n">
        <f aca="false">(C14/B4)^(1/3)-1</f>
        <v>10.017800380696</v>
      </c>
      <c r="D16" s="50" t="n">
        <f aca="false">(D14/B4)^(1/3)-1</f>
        <v>11.6122330173922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13" t="s">
        <v>256</v>
      </c>
      <c r="B1" s="13"/>
      <c r="C1" s="13"/>
    </row>
    <row r="3" customFormat="false" ht="15" hidden="false" customHeight="true" outlineLevel="0" collapsed="false">
      <c r="A3" s="6" t="s">
        <v>257</v>
      </c>
      <c r="B3" s="7"/>
      <c r="C3" s="7"/>
    </row>
    <row r="4" customFormat="false" ht="15" hidden="false" customHeight="true" outlineLevel="0" collapsed="false">
      <c r="A4" s="16" t="s">
        <v>258</v>
      </c>
      <c r="B4" s="51" t="s">
        <v>259</v>
      </c>
      <c r="C4" s="28" t="s">
        <v>260</v>
      </c>
    </row>
    <row r="5" customFormat="false" ht="15" hidden="false" customHeight="true" outlineLevel="0" collapsed="false">
      <c r="A5" s="16" t="s">
        <v>261</v>
      </c>
      <c r="B5" s="51" t="s">
        <v>259</v>
      </c>
      <c r="C5" s="28" t="s">
        <v>262</v>
      </c>
    </row>
    <row r="6" customFormat="false" ht="15" hidden="false" customHeight="true" outlineLevel="0" collapsed="false">
      <c r="A6" s="16" t="s">
        <v>263</v>
      </c>
      <c r="B6" s="51" t="s">
        <v>264</v>
      </c>
      <c r="C6" s="28" t="s">
        <v>265</v>
      </c>
    </row>
    <row r="7" customFormat="false" ht="15" hidden="false" customHeight="true" outlineLevel="0" collapsed="false">
      <c r="A7" s="16" t="s">
        <v>266</v>
      </c>
      <c r="B7" s="51" t="s">
        <v>267</v>
      </c>
      <c r="C7" s="28" t="s">
        <v>268</v>
      </c>
    </row>
    <row r="9" customFormat="false" ht="15" hidden="false" customHeight="true" outlineLevel="0" collapsed="false">
      <c r="A9" s="6" t="s">
        <v>269</v>
      </c>
      <c r="B9" s="7"/>
      <c r="C9" s="7"/>
    </row>
    <row r="10" customFormat="false" ht="15" hidden="false" customHeight="true" outlineLevel="0" collapsed="false">
      <c r="A10" s="16" t="s">
        <v>270</v>
      </c>
      <c r="B10" s="51" t="s">
        <v>259</v>
      </c>
      <c r="C10" s="28" t="s">
        <v>271</v>
      </c>
    </row>
    <row r="11" customFormat="false" ht="15" hidden="false" customHeight="true" outlineLevel="0" collapsed="false">
      <c r="A11" s="16" t="s">
        <v>272</v>
      </c>
      <c r="B11" s="51" t="s">
        <v>259</v>
      </c>
      <c r="C11" s="28" t="s">
        <v>273</v>
      </c>
    </row>
    <row r="12" customFormat="false" ht="15" hidden="false" customHeight="true" outlineLevel="0" collapsed="false">
      <c r="A12" s="16" t="s">
        <v>274</v>
      </c>
      <c r="B12" s="51" t="s">
        <v>259</v>
      </c>
      <c r="C12" s="28" t="s">
        <v>275</v>
      </c>
    </row>
    <row r="13" customFormat="false" ht="15" hidden="false" customHeight="true" outlineLevel="0" collapsed="false">
      <c r="A13" s="16" t="s">
        <v>276</v>
      </c>
      <c r="B13" s="51" t="s">
        <v>277</v>
      </c>
      <c r="C13" s="28" t="s">
        <v>278</v>
      </c>
    </row>
    <row r="14" customFormat="false" ht="15" hidden="false" customHeight="true" outlineLevel="0" collapsed="false">
      <c r="A14" s="16" t="s">
        <v>279</v>
      </c>
      <c r="B14" s="51" t="s">
        <v>280</v>
      </c>
      <c r="C14" s="28" t="s">
        <v>281</v>
      </c>
    </row>
    <row r="15" customFormat="false" ht="15" hidden="false" customHeight="true" outlineLevel="0" collapsed="false">
      <c r="A15" s="16" t="s">
        <v>282</v>
      </c>
      <c r="B15" s="51" t="s">
        <v>283</v>
      </c>
      <c r="C15" s="28" t="s">
        <v>284</v>
      </c>
    </row>
    <row r="17" customFormat="false" ht="15" hidden="false" customHeight="true" outlineLevel="0" collapsed="false">
      <c r="A17" s="6" t="s">
        <v>285</v>
      </c>
      <c r="B17" s="7"/>
      <c r="C17" s="7"/>
    </row>
    <row r="18" customFormat="false" ht="15" hidden="false" customHeight="true" outlineLevel="0" collapsed="false">
      <c r="A18" s="16" t="s">
        <v>286</v>
      </c>
      <c r="B18" s="51" t="s">
        <v>277</v>
      </c>
      <c r="C18" s="28" t="s">
        <v>287</v>
      </c>
    </row>
    <row r="19" customFormat="false" ht="15" hidden="false" customHeight="true" outlineLevel="0" collapsed="false">
      <c r="A19" s="16" t="s">
        <v>288</v>
      </c>
      <c r="B19" s="51" t="s">
        <v>277</v>
      </c>
      <c r="C19" s="28" t="s">
        <v>289</v>
      </c>
    </row>
    <row r="20" customFormat="false" ht="15" hidden="false" customHeight="true" outlineLevel="0" collapsed="false">
      <c r="A20" s="16" t="s">
        <v>290</v>
      </c>
      <c r="B20" s="51" t="s">
        <v>291</v>
      </c>
      <c r="C20" s="28" t="s">
        <v>292</v>
      </c>
    </row>
    <row r="21" customFormat="false" ht="15" hidden="false" customHeight="true" outlineLevel="0" collapsed="false">
      <c r="A21" s="16" t="s">
        <v>293</v>
      </c>
      <c r="B21" s="51" t="s">
        <v>294</v>
      </c>
      <c r="C21" s="28" t="s">
        <v>295</v>
      </c>
    </row>
    <row r="22" customFormat="false" ht="15" hidden="false" customHeight="true" outlineLevel="0" collapsed="false">
      <c r="A22" s="16" t="s">
        <v>296</v>
      </c>
      <c r="B22" s="51" t="s">
        <v>259</v>
      </c>
      <c r="C22" s="28" t="s">
        <v>297</v>
      </c>
    </row>
    <row r="23" customFormat="false" ht="15" hidden="false" customHeight="true" outlineLevel="0" collapsed="false">
      <c r="A23" s="16" t="s">
        <v>298</v>
      </c>
      <c r="B23" s="51" t="s">
        <v>283</v>
      </c>
      <c r="C23" s="28" t="s">
        <v>299</v>
      </c>
    </row>
    <row r="26" customFormat="false" ht="15" hidden="false" customHeight="true" outlineLevel="0" collapsed="false">
      <c r="A26" s="30" t="s">
        <v>300</v>
      </c>
      <c r="B26" s="52" t="s">
        <v>301</v>
      </c>
    </row>
    <row r="28" customFormat="false" ht="15" hidden="false" customHeight="true" outlineLevel="0" collapsed="false">
      <c r="A28" s="6" t="s">
        <v>302</v>
      </c>
      <c r="B28" s="7"/>
      <c r="C28" s="7"/>
    </row>
    <row r="29" customFormat="false" ht="15" hidden="false" customHeight="true" outlineLevel="0" collapsed="false">
      <c r="A29" s="16" t="s">
        <v>303</v>
      </c>
      <c r="B29" s="51" t="s">
        <v>304</v>
      </c>
      <c r="C29" s="28" t="s">
        <v>305</v>
      </c>
    </row>
    <row r="30" customFormat="false" ht="15" hidden="false" customHeight="true" outlineLevel="0" collapsed="false">
      <c r="A30" s="16" t="s">
        <v>306</v>
      </c>
      <c r="B30" s="51" t="s">
        <v>307</v>
      </c>
      <c r="C30" s="28" t="s">
        <v>308</v>
      </c>
    </row>
    <row r="31" customFormat="false" ht="15" hidden="false" customHeight="true" outlineLevel="0" collapsed="false">
      <c r="A31" s="16" t="s">
        <v>309</v>
      </c>
      <c r="B31" s="51" t="s">
        <v>310</v>
      </c>
      <c r="C31" s="28" t="s">
        <v>311</v>
      </c>
    </row>
    <row r="32" customFormat="false" ht="15" hidden="false" customHeight="true" outlineLevel="0" collapsed="false">
      <c r="A32" s="16" t="s">
        <v>312</v>
      </c>
      <c r="B32" s="51" t="s">
        <v>313</v>
      </c>
      <c r="C32" s="28" t="s">
        <v>314</v>
      </c>
    </row>
    <row r="33" customFormat="false" ht="15" hidden="false" customHeight="true" outlineLevel="0" collapsed="false">
      <c r="A33" s="16" t="s">
        <v>315</v>
      </c>
      <c r="B33" s="51" t="s">
        <v>316</v>
      </c>
      <c r="C33" s="28" t="s">
        <v>317</v>
      </c>
    </row>
    <row r="34" customFormat="false" ht="15" hidden="false" customHeight="true" outlineLevel="0" collapsed="false">
      <c r="A34" s="16" t="s">
        <v>318</v>
      </c>
      <c r="B34" s="51" t="s">
        <v>264</v>
      </c>
      <c r="C34" s="28" t="s">
        <v>319</v>
      </c>
    </row>
    <row r="35" customFormat="false" ht="15" hidden="false" customHeight="true" outlineLevel="0" collapsed="false">
      <c r="A35" s="8" t="s">
        <v>320</v>
      </c>
      <c r="B35" s="51" t="s">
        <v>304</v>
      </c>
      <c r="C35" s="28" t="s">
        <v>321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13" t="s">
        <v>322</v>
      </c>
      <c r="B1" s="13"/>
      <c r="C1" s="13"/>
    </row>
    <row r="2" customFormat="false" ht="15" hidden="false" customHeight="true" outlineLevel="0" collapsed="false">
      <c r="A2" s="14" t="s">
        <v>323</v>
      </c>
      <c r="B2" s="14"/>
      <c r="C2" s="14"/>
    </row>
    <row r="4" customFormat="false" ht="15" hidden="false" customHeight="true" outlineLevel="0" collapsed="false">
      <c r="A4" s="6" t="s">
        <v>324</v>
      </c>
      <c r="B4" s="7"/>
      <c r="C4" s="7"/>
    </row>
    <row r="5" customFormat="false" ht="15" hidden="false" customHeight="true" outlineLevel="0" collapsed="false">
      <c r="A5" s="16" t="s">
        <v>325</v>
      </c>
      <c r="B5" s="51" t="s">
        <v>326</v>
      </c>
      <c r="C5" s="28" t="s">
        <v>327</v>
      </c>
    </row>
    <row r="6" customFormat="false" ht="15" hidden="false" customHeight="true" outlineLevel="0" collapsed="false">
      <c r="A6" s="16" t="s">
        <v>328</v>
      </c>
      <c r="B6" s="51" t="s">
        <v>326</v>
      </c>
      <c r="C6" s="28" t="s">
        <v>329</v>
      </c>
    </row>
    <row r="7" customFormat="false" ht="15" hidden="false" customHeight="true" outlineLevel="0" collapsed="false">
      <c r="A7" s="16" t="s">
        <v>330</v>
      </c>
      <c r="B7" s="51" t="s">
        <v>326</v>
      </c>
      <c r="C7" s="28" t="s">
        <v>331</v>
      </c>
    </row>
    <row r="8" customFormat="false" ht="15" hidden="false" customHeight="true" outlineLevel="0" collapsed="false">
      <c r="A8" s="16" t="s">
        <v>332</v>
      </c>
      <c r="B8" s="51" t="s">
        <v>333</v>
      </c>
      <c r="C8" s="28" t="s">
        <v>334</v>
      </c>
    </row>
    <row r="9" customFormat="false" ht="15" hidden="false" customHeight="true" outlineLevel="0" collapsed="false">
      <c r="A9" s="16" t="s">
        <v>335</v>
      </c>
      <c r="B9" s="51" t="s">
        <v>336</v>
      </c>
      <c r="C9" s="28" t="s">
        <v>337</v>
      </c>
    </row>
    <row r="11" customFormat="false" ht="15" hidden="false" customHeight="true" outlineLevel="0" collapsed="false">
      <c r="A11" s="6" t="s">
        <v>338</v>
      </c>
      <c r="B11" s="7"/>
      <c r="C11" s="7"/>
    </row>
    <row r="12" customFormat="false" ht="15" hidden="false" customHeight="true" outlineLevel="0" collapsed="false">
      <c r="A12" s="16" t="s">
        <v>339</v>
      </c>
      <c r="B12" s="51" t="s">
        <v>340</v>
      </c>
      <c r="C12" s="28" t="s">
        <v>341</v>
      </c>
    </row>
    <row r="13" customFormat="false" ht="15" hidden="false" customHeight="true" outlineLevel="0" collapsed="false">
      <c r="A13" s="16" t="s">
        <v>100</v>
      </c>
      <c r="B13" s="51" t="s">
        <v>342</v>
      </c>
      <c r="C13" s="28" t="s">
        <v>343</v>
      </c>
    </row>
    <row r="14" customFormat="false" ht="15" hidden="false" customHeight="true" outlineLevel="0" collapsed="false">
      <c r="A14" s="16" t="s">
        <v>344</v>
      </c>
      <c r="B14" s="51" t="s">
        <v>345</v>
      </c>
      <c r="C14" s="28" t="s">
        <v>346</v>
      </c>
    </row>
    <row r="15" customFormat="false" ht="15" hidden="false" customHeight="true" outlineLevel="0" collapsed="false">
      <c r="A15" s="16" t="s">
        <v>104</v>
      </c>
      <c r="B15" s="51" t="s">
        <v>347</v>
      </c>
      <c r="C15" s="28" t="s">
        <v>348</v>
      </c>
    </row>
    <row r="16" customFormat="false" ht="15" hidden="false" customHeight="true" outlineLevel="0" collapsed="false">
      <c r="A16" s="16" t="s">
        <v>349</v>
      </c>
      <c r="B16" s="51" t="s">
        <v>326</v>
      </c>
      <c r="C16" s="28" t="s">
        <v>350</v>
      </c>
    </row>
    <row r="18" customFormat="false" ht="15" hidden="false" customHeight="true" outlineLevel="0" collapsed="false">
      <c r="A18" s="6" t="s">
        <v>351</v>
      </c>
      <c r="B18" s="7"/>
      <c r="C18" s="7"/>
    </row>
    <row r="19" customFormat="false" ht="15" hidden="false" customHeight="true" outlineLevel="0" collapsed="false">
      <c r="A19" s="16" t="s">
        <v>352</v>
      </c>
      <c r="B19" s="51" t="s">
        <v>345</v>
      </c>
      <c r="C19" s="28" t="s">
        <v>353</v>
      </c>
    </row>
    <row r="20" customFormat="false" ht="15" hidden="false" customHeight="true" outlineLevel="0" collapsed="false">
      <c r="A20" s="16" t="s">
        <v>354</v>
      </c>
      <c r="B20" s="51" t="s">
        <v>355</v>
      </c>
      <c r="C20" s="28" t="s">
        <v>356</v>
      </c>
    </row>
    <row r="21" customFormat="false" ht="15" hidden="false" customHeight="true" outlineLevel="0" collapsed="false">
      <c r="A21" s="16" t="s">
        <v>357</v>
      </c>
      <c r="B21" s="51" t="s">
        <v>326</v>
      </c>
      <c r="C21" s="28" t="s">
        <v>358</v>
      </c>
    </row>
    <row r="22" customFormat="false" ht="15" hidden="false" customHeight="true" outlineLevel="0" collapsed="false">
      <c r="A22" s="16" t="s">
        <v>359</v>
      </c>
      <c r="B22" s="51" t="s">
        <v>360</v>
      </c>
      <c r="C22" s="28" t="s">
        <v>361</v>
      </c>
    </row>
    <row r="23" customFormat="false" ht="15" hidden="false" customHeight="true" outlineLevel="0" collapsed="false">
      <c r="A23" s="16" t="s">
        <v>362</v>
      </c>
      <c r="B23" s="51" t="s">
        <v>326</v>
      </c>
      <c r="C23" s="28" t="s">
        <v>363</v>
      </c>
    </row>
    <row r="24" customFormat="false" ht="15" hidden="false" customHeight="true" outlineLevel="0" collapsed="false">
      <c r="A24" s="16" t="s">
        <v>364</v>
      </c>
      <c r="B24" s="51" t="s">
        <v>326</v>
      </c>
      <c r="C24" s="28" t="s">
        <v>365</v>
      </c>
    </row>
    <row r="26" customFormat="false" ht="15" hidden="false" customHeight="true" outlineLevel="0" collapsed="false">
      <c r="A26" s="6" t="s">
        <v>366</v>
      </c>
      <c r="B26" s="7"/>
      <c r="C26" s="7"/>
    </row>
    <row r="27" customFormat="false" ht="15" hidden="false" customHeight="true" outlineLevel="0" collapsed="false">
      <c r="A27" s="16" t="s">
        <v>367</v>
      </c>
      <c r="B27" s="51" t="s">
        <v>326</v>
      </c>
      <c r="C27" s="28" t="s">
        <v>368</v>
      </c>
    </row>
    <row r="28" customFormat="false" ht="15" hidden="false" customHeight="true" outlineLevel="0" collapsed="false">
      <c r="A28" s="16" t="s">
        <v>369</v>
      </c>
      <c r="B28" s="51" t="s">
        <v>355</v>
      </c>
      <c r="C28" s="28" t="s">
        <v>370</v>
      </c>
    </row>
    <row r="29" customFormat="false" ht="15" hidden="false" customHeight="true" outlineLevel="0" collapsed="false">
      <c r="A29" s="16" t="s">
        <v>371</v>
      </c>
      <c r="B29" s="51" t="s">
        <v>372</v>
      </c>
      <c r="C29" s="28" t="s">
        <v>373</v>
      </c>
    </row>
    <row r="30" customFormat="false" ht="15" hidden="false" customHeight="true" outlineLevel="0" collapsed="false">
      <c r="A30" s="16" t="s">
        <v>374</v>
      </c>
      <c r="B30" s="51" t="s">
        <v>333</v>
      </c>
      <c r="C30" s="28" t="s">
        <v>375</v>
      </c>
    </row>
    <row r="31" customFormat="false" ht="15" hidden="false" customHeight="true" outlineLevel="0" collapsed="false">
      <c r="A31" s="16" t="s">
        <v>376</v>
      </c>
      <c r="B31" s="51" t="s">
        <v>336</v>
      </c>
      <c r="C31" s="28" t="s">
        <v>377</v>
      </c>
    </row>
    <row r="33" customFormat="false" ht="15" hidden="false" customHeight="true" outlineLevel="0" collapsed="false">
      <c r="A33" s="6" t="s">
        <v>378</v>
      </c>
      <c r="B33" s="7"/>
      <c r="C33" s="7"/>
    </row>
    <row r="34" customFormat="false" ht="15" hidden="false" customHeight="true" outlineLevel="0" collapsed="false">
      <c r="A34" s="16" t="s">
        <v>379</v>
      </c>
      <c r="B34" s="51" t="s">
        <v>355</v>
      </c>
      <c r="C34" s="28" t="s">
        <v>380</v>
      </c>
    </row>
    <row r="35" customFormat="false" ht="15" hidden="false" customHeight="true" outlineLevel="0" collapsed="false">
      <c r="A35" s="16" t="s">
        <v>381</v>
      </c>
      <c r="B35" s="51" t="s">
        <v>336</v>
      </c>
      <c r="C35" s="28" t="s">
        <v>382</v>
      </c>
    </row>
    <row r="36" customFormat="false" ht="15" hidden="false" customHeight="true" outlineLevel="0" collapsed="false">
      <c r="A36" s="16" t="s">
        <v>383</v>
      </c>
      <c r="B36" s="51" t="s">
        <v>336</v>
      </c>
      <c r="C36" s="28" t="s">
        <v>384</v>
      </c>
    </row>
    <row r="37" customFormat="false" ht="15" hidden="false" customHeight="true" outlineLevel="0" collapsed="false">
      <c r="A37" s="16" t="s">
        <v>385</v>
      </c>
      <c r="B37" s="51" t="s">
        <v>386</v>
      </c>
      <c r="C37" s="28" t="s">
        <v>387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2026-04-23T05:58:31Z</dcterms:created>
  <dc:creator>openpyxl</dc:creator>
  <dc:description/>
  <dc:language>en-US</dc:language>
  <cp:lastModifiedBy/>
  <dcterms:modified xsi:type="dcterms:W3CDTF">2026-04-23T05:59:07Z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